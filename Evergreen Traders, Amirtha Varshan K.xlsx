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5CECF1A4-231A-4FE0-B8C5-149459174E33}" xr6:coauthVersionLast="47" xr6:coauthVersionMax="47" xr10:uidLastSave="{00000000-0000-0000-0000-000000000000}"/>
  <bookViews>
    <workbookView xWindow="-108" yWindow="-108" windowWidth="23256" windowHeight="13176" xr2:uid="{82D567DD-25B7-4087-A86E-69B25275FCAE}"/>
  </bookViews>
  <sheets>
    <sheet name="Problems." sheetId="1" r:id="rId1"/>
    <sheet name="Journal entries." sheetId="2" r:id="rId2"/>
    <sheet name="Ledger Accounts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/>
  <c r="C14" i="6"/>
  <c r="C17" i="6"/>
  <c r="C11" i="5"/>
  <c r="B36" i="8"/>
  <c r="B40" i="8"/>
  <c r="B41" i="8" s="1"/>
  <c r="B31" i="8"/>
  <c r="B26" i="8"/>
  <c r="B21" i="8"/>
  <c r="B16" i="8"/>
  <c r="B11" i="8"/>
  <c r="B6" i="8"/>
  <c r="B6" i="7"/>
  <c r="C7" i="7" s="1"/>
  <c r="F7" i="7"/>
  <c r="F14" i="7" s="1"/>
  <c r="C11" i="7"/>
  <c r="F17" i="6"/>
  <c r="F12" i="5"/>
  <c r="D29" i="4"/>
  <c r="H114" i="3"/>
  <c r="D26" i="3"/>
  <c r="H26" i="3"/>
  <c r="C29" i="4"/>
  <c r="H85" i="3"/>
  <c r="H40" i="3"/>
  <c r="D40" i="3"/>
  <c r="C14" i="7" l="1"/>
</calcChain>
</file>

<file path=xl/sharedStrings.xml><?xml version="1.0" encoding="utf-8"?>
<sst xmlns="http://schemas.openxmlformats.org/spreadsheetml/2006/main" count="719" uniqueCount="289">
  <si>
    <t>Date</t>
  </si>
  <si>
    <t>Particulars</t>
  </si>
  <si>
    <t>L.F</t>
  </si>
  <si>
    <t>Debit₹</t>
  </si>
  <si>
    <t>Credit₹</t>
  </si>
  <si>
    <t>Cash A/c</t>
  </si>
  <si>
    <t>Dr</t>
  </si>
  <si>
    <t xml:space="preserve">  To Capital A/c</t>
  </si>
  <si>
    <t>(Being Started Business with Cash)</t>
  </si>
  <si>
    <t xml:space="preserve">  To Cash A/c</t>
  </si>
  <si>
    <t>(Being Cash deposited into Bank)</t>
  </si>
  <si>
    <t>Motor Car A/c</t>
  </si>
  <si>
    <t>Bank A/c</t>
  </si>
  <si>
    <t xml:space="preserve">  To Motor Corps A/c</t>
  </si>
  <si>
    <t>(Being purchased motor car from motor corps on credit)</t>
  </si>
  <si>
    <t>Furniture A/c</t>
  </si>
  <si>
    <t>(Being bought furniturte for Cash)</t>
  </si>
  <si>
    <t>Purchase A/c</t>
  </si>
  <si>
    <t xml:space="preserve">  To Miller Distributing A/c</t>
  </si>
  <si>
    <t>(Being purchased goods on credit from Miller Distributing)</t>
  </si>
  <si>
    <t>Carriage inward A/c</t>
  </si>
  <si>
    <t xml:space="preserve"> </t>
  </si>
  <si>
    <t>(Being paid carriage inward)</t>
  </si>
  <si>
    <t xml:space="preserve">  To Sales A/c</t>
  </si>
  <si>
    <t>(Being sold goods for cash)</t>
  </si>
  <si>
    <t>Davis Retailers A/c</t>
  </si>
  <si>
    <t>(Being sold  goods on credit to Davis Retailers)</t>
  </si>
  <si>
    <t>(Being paid factory cleaning and power expenses for Cash)</t>
  </si>
  <si>
    <t>Miller Distributing A/c</t>
  </si>
  <si>
    <t xml:space="preserve">  To Purchase returns A/c</t>
  </si>
  <si>
    <t>(Being returned defective goods to Miller Distributing)</t>
  </si>
  <si>
    <t>Sales returns A/c</t>
  </si>
  <si>
    <t xml:space="preserve">  To Davis Retailers A/c</t>
  </si>
  <si>
    <t>(Being Davis Retailes returned damaged goods)</t>
  </si>
  <si>
    <t>Stationery A/c</t>
  </si>
  <si>
    <t>Factory expenses A/c</t>
  </si>
  <si>
    <t>(Being paid cash for office stationery )</t>
  </si>
  <si>
    <t>(Being received cheque from Davis Retailers)</t>
  </si>
  <si>
    <t xml:space="preserve">  To Bank A/c</t>
  </si>
  <si>
    <t>(Being paid Miller Distributing by cheque)</t>
  </si>
  <si>
    <t>(Being purchased goods for Cash)</t>
  </si>
  <si>
    <t>Drawings A/c</t>
  </si>
  <si>
    <t>(Being owner withdrew cash from the bank for Personal use)</t>
  </si>
  <si>
    <t>Wages A/c</t>
  </si>
  <si>
    <t>(Being paid factory manufacturing Wages in Cash)</t>
  </si>
  <si>
    <t>Advertising expenses A/c</t>
  </si>
  <si>
    <t>(Being paid storefont advertising expenses)</t>
  </si>
  <si>
    <t>(Being bought goods on credit from Miller Distributing)</t>
  </si>
  <si>
    <t>(Being sold goods for credit to Davis Retailers)</t>
  </si>
  <si>
    <t>(Being commission received in cash)</t>
  </si>
  <si>
    <t>(Being paid Motor corps by cheque)</t>
  </si>
  <si>
    <t>Rent A/c</t>
  </si>
  <si>
    <t>(Being paid office rent by cheque)</t>
  </si>
  <si>
    <t>Carriage outwards A/c</t>
  </si>
  <si>
    <t>(Being paid carriage outwards by cash)</t>
  </si>
  <si>
    <t>(Being paid general office administrative expenses)</t>
  </si>
  <si>
    <t>(Being bank debited account for monthly service fee)</t>
  </si>
  <si>
    <t>Inscurance premium A/c</t>
  </si>
  <si>
    <t>(Being paid inscurance premium by Cash)</t>
  </si>
  <si>
    <t>Salaries A/c</t>
  </si>
  <si>
    <t>(Being paid office salaries by cheque)</t>
  </si>
  <si>
    <t>Bank Charges A/c</t>
  </si>
  <si>
    <t>The following balances were extracted from the books of M/s Evergreen Traders as on 1 September 2025. The following transactions took place during the month of September 2025.</t>
  </si>
  <si>
    <t>Sep 1: Started business with Cash ₹100,000.</t>
  </si>
  <si>
    <t>Sep 2: Opened a bank account with Commercial Bank and deposited Cash ₹45,000.</t>
  </si>
  <si>
    <t>Sep 3: Purchased Motor car for business use from Motor Corps on credit for ₹25,000.</t>
  </si>
  <si>
    <t>Sep 4: Bought furniture for cash ₹8,000.</t>
  </si>
  <si>
    <t>Sep 5: Purchased goods on credit from Miller Distributing for ₹18,000.</t>
  </si>
  <si>
    <t>Sep 7: Paid carriage inwards on the purchases in cash ₹1,200.</t>
  </si>
  <si>
    <t>Sep 8: Sold goods for cash ₹14,000.</t>
  </si>
  <si>
    <t>Sep 10: Sold goods on credit to Davis Retailers for ₹22,000.</t>
  </si>
  <si>
    <t>Sep 11: Paid factory cleaning and power expenses in cash ₹1,500.</t>
  </si>
  <si>
    <t>Sep 12: Returned defective goods to Miller Distributing worth ₹1,000.</t>
  </si>
  <si>
    <t>Sep 13: Davis Retailers returned damaged goods worth ₹2,000.</t>
  </si>
  <si>
    <t>Sep 14: Paid cash for office stationery ₹900.</t>
  </si>
  <si>
    <t>Sep 15: Received a cheque from Davis Retailers for ₹15,000 as partial payment.</t>
  </si>
  <si>
    <t>Sep 16: Paid Miller Distributing ₹10,000 by cheque.</t>
  </si>
  <si>
    <t>Sep 17: Purchased goods for cash ₹11,000.</t>
  </si>
  <si>
    <t>Sep 18: The owner withdrew cash from the bank for personal use ₹3,500.</t>
  </si>
  <si>
    <t>Sep 19: Paid factory manufacturing wages in cash ₹4,800.</t>
  </si>
  <si>
    <t>Sep 20: Sold goods for cash ₹16,500.</t>
  </si>
  <si>
    <t>Sep 21: Paid storefront advertising expenses in cash ₹3,000.</t>
  </si>
  <si>
    <t>Sep 22: Bought goods on credit from Miller Distributing for ₹12,000.</t>
  </si>
  <si>
    <t>Sep 23: Sold goods on credit to Davis Retailers for ₹19,000.</t>
  </si>
  <si>
    <t>Sep 24: Received commission in cash ₹1,800.</t>
  </si>
  <si>
    <t>Sep 25: Paid Motor Corps ₹10,000 by cheque toward the Motor car balance.</t>
  </si>
  <si>
    <t>Sep 26: Paid office rent by cheque ₹4,000.</t>
  </si>
  <si>
    <t>Sep 27: Paid carriage outwards on sales in cash ₹1,100.</t>
  </si>
  <si>
    <t>Sep 28: Received a cheque from Davis Retailers for ₹12,000.</t>
  </si>
  <si>
    <t>Sep 28: Paid general office administrative expenses in cash ₹1,600.</t>
  </si>
  <si>
    <t>Sep 29: Bank debited account for monthly service fees ₹400.</t>
  </si>
  <si>
    <t>Sep 30: Paid insurance premium for the office in cash ₹1,300.</t>
  </si>
  <si>
    <t>Sep 30: Paid office salaries by cheque ₹10,000.</t>
  </si>
  <si>
    <t xml:space="preserve"> Adjustments</t>
  </si>
  <si>
    <t>1. Closing Stock on September 30 is valued at ₹24,000.</t>
  </si>
  <si>
    <t xml:space="preserve">2. Depreciate Motor Car at 12% per annum </t>
  </si>
  <si>
    <t>3. Outstanding Office Salaries amount to ₹1,500.</t>
  </si>
  <si>
    <t>In the Books of M/s Evergreen Traders.Preparation of Journal entries for the month ended 30th September 2025.</t>
  </si>
  <si>
    <t>J.F</t>
  </si>
  <si>
    <t>Amount₹</t>
  </si>
  <si>
    <t>Cr.</t>
  </si>
  <si>
    <t>Dr.</t>
  </si>
  <si>
    <t>Capital A/C</t>
  </si>
  <si>
    <t>By Cash A/c</t>
  </si>
  <si>
    <t>To Balance B/d</t>
  </si>
  <si>
    <t>By Balance C/d</t>
  </si>
  <si>
    <t>Cash A/C</t>
  </si>
  <si>
    <t>By Bank A/c</t>
  </si>
  <si>
    <t>By Furniture A/c</t>
  </si>
  <si>
    <t>By Carriage inward A/c</t>
  </si>
  <si>
    <t>To Sales A/c</t>
  </si>
  <si>
    <t>By Factory expenses A/c</t>
  </si>
  <si>
    <t>By Stationery A/c</t>
  </si>
  <si>
    <t>By Purchase A/c</t>
  </si>
  <si>
    <t>By Drawings A/c</t>
  </si>
  <si>
    <t>By Wages A/c</t>
  </si>
  <si>
    <t>By Advertising expenses A/c</t>
  </si>
  <si>
    <t>To Capital A/c</t>
  </si>
  <si>
    <t>Administrative Expenses A/c</t>
  </si>
  <si>
    <t>By Administrative expenses A/c</t>
  </si>
  <si>
    <t>By Inscurance premium A/c</t>
  </si>
  <si>
    <t>Bank A/C</t>
  </si>
  <si>
    <t>To Cash A/c</t>
  </si>
  <si>
    <t>To Davis Retailers A/c</t>
  </si>
  <si>
    <t>By Miller Distributing A/c</t>
  </si>
  <si>
    <t>By Motor Car A/c</t>
  </si>
  <si>
    <t>By Bank Charges A/c</t>
  </si>
  <si>
    <t>By Salaries A/c</t>
  </si>
  <si>
    <t>By Rent A/c</t>
  </si>
  <si>
    <t>Motor CarA/C</t>
  </si>
  <si>
    <t>To Motor corps A/c</t>
  </si>
  <si>
    <t>To Bank A/c</t>
  </si>
  <si>
    <t>Motor Corps A/C</t>
  </si>
  <si>
    <t>To Balance C/d</t>
  </si>
  <si>
    <t>By Balance B/d</t>
  </si>
  <si>
    <t>Furniture A/C</t>
  </si>
  <si>
    <t>Purchase A/C</t>
  </si>
  <si>
    <t>To Miller distributing A/c</t>
  </si>
  <si>
    <t>Miller Distributing A/C</t>
  </si>
  <si>
    <t>To Purchase returns A/c</t>
  </si>
  <si>
    <t>Carriage Inward A/C</t>
  </si>
  <si>
    <t>Sales A/C</t>
  </si>
  <si>
    <t>By Davis retailers A/c</t>
  </si>
  <si>
    <t>Davis Retailers A/C</t>
  </si>
  <si>
    <t>By Sales returns A/c</t>
  </si>
  <si>
    <t>Factory Expenses A/C</t>
  </si>
  <si>
    <t>Purchase Returns A/C</t>
  </si>
  <si>
    <t>Sales Returns A/C</t>
  </si>
  <si>
    <t>Stationery A/C</t>
  </si>
  <si>
    <t>Drawings A/C</t>
  </si>
  <si>
    <t>Wages A/C</t>
  </si>
  <si>
    <t>Advertising Expenses A/C</t>
  </si>
  <si>
    <t>Commission Received A/C</t>
  </si>
  <si>
    <t>Rent A/C</t>
  </si>
  <si>
    <t>Carriage outwards A/C</t>
  </si>
  <si>
    <t>Administrative Expenses A/C</t>
  </si>
  <si>
    <t>Bank Charges A/C</t>
  </si>
  <si>
    <t>Inscurance Premium A/C</t>
  </si>
  <si>
    <t>Salaries A/C</t>
  </si>
  <si>
    <t>S.No</t>
  </si>
  <si>
    <t>In the Books of M/s Evergreen Traders.Preparation of Trial Balance for the month ended 30th September 2025.</t>
  </si>
  <si>
    <t>In the Books of M/s Evergreen Traders.Preparation of Ledger for the month ended 30th September 2025.</t>
  </si>
  <si>
    <t>Carriage Inward A/c</t>
  </si>
  <si>
    <t>Factory Expenses A/c</t>
  </si>
  <si>
    <t>Sales Returns A/c</t>
  </si>
  <si>
    <t>Advertising Expenses A/c</t>
  </si>
  <si>
    <t>Commission Received A/c</t>
  </si>
  <si>
    <t>Carriage outward A/c</t>
  </si>
  <si>
    <t>Inscurance Premium A/c</t>
  </si>
  <si>
    <t>Capital A/c</t>
  </si>
  <si>
    <t>Motor Corps A/c</t>
  </si>
  <si>
    <t>Sales A/c</t>
  </si>
  <si>
    <t>Purchase Returns A/c</t>
  </si>
  <si>
    <t>By Carriage outward A/c</t>
  </si>
  <si>
    <t xml:space="preserve">  To Commission received A/c </t>
  </si>
  <si>
    <t>To Commission  received</t>
  </si>
  <si>
    <t xml:space="preserve">Particulars </t>
  </si>
  <si>
    <t>In the Books of M/s Evergreen Traders.Preparation of Trading Account for the month ended 30th September 2025.</t>
  </si>
  <si>
    <t>To Openimg Stock</t>
  </si>
  <si>
    <t>-</t>
  </si>
  <si>
    <t>To Purchase</t>
  </si>
  <si>
    <t>Less:Purchase Returns</t>
  </si>
  <si>
    <t>To Direct Expense</t>
  </si>
  <si>
    <t>Carriage Inwards</t>
  </si>
  <si>
    <t>Wages</t>
  </si>
  <si>
    <t>By Sales</t>
  </si>
  <si>
    <t>Less:Sales Returns</t>
  </si>
  <si>
    <t>By Closing Stock</t>
  </si>
  <si>
    <t>To Gross Profit C/d</t>
  </si>
  <si>
    <t>To Stationery A/c</t>
  </si>
  <si>
    <t>To Advertising Expenses A/c</t>
  </si>
  <si>
    <t>To Rent A/c</t>
  </si>
  <si>
    <t>To Carriage outward A/c</t>
  </si>
  <si>
    <t>To Administrative Expenses A/c</t>
  </si>
  <si>
    <t>To Bank Charges A/c</t>
  </si>
  <si>
    <t>To Inscurance Premium A/c</t>
  </si>
  <si>
    <t>To Salaries A/c</t>
  </si>
  <si>
    <t>Add:Outstanding Salaries</t>
  </si>
  <si>
    <t>To Depreciation on motor car</t>
  </si>
  <si>
    <t>By Gross Profit B/d</t>
  </si>
  <si>
    <t>By Commission Received A/c</t>
  </si>
  <si>
    <t>To Net Profit</t>
  </si>
  <si>
    <t>Assets</t>
  </si>
  <si>
    <t>Liabilities</t>
  </si>
  <si>
    <t>Capital</t>
  </si>
  <si>
    <t>Add:Net Profit</t>
  </si>
  <si>
    <t>Less:Drawings</t>
  </si>
  <si>
    <t>Sundry creditors</t>
  </si>
  <si>
    <t>Motor Corps</t>
  </si>
  <si>
    <t>Miller Distributing</t>
  </si>
  <si>
    <t>Cash</t>
  </si>
  <si>
    <t>Bank</t>
  </si>
  <si>
    <t>Motor Car</t>
  </si>
  <si>
    <t xml:space="preserve">Less:Depreciation </t>
  </si>
  <si>
    <t xml:space="preserve">Furniture </t>
  </si>
  <si>
    <t>Sundry debtors</t>
  </si>
  <si>
    <t>Davis retailers</t>
  </si>
  <si>
    <t>Closing stock</t>
  </si>
  <si>
    <t>Outstanding Salaries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</si>
  <si>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</si>
  <si>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</si>
  <si>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</si>
  <si>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</si>
  <si>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</si>
  <si>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</si>
  <si>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</si>
  <si>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</si>
  <si>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</si>
  <si>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</si>
  <si>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</si>
  <si>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</si>
  <si>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</si>
  <si>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</si>
  <si>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</si>
  <si>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</si>
  <si>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</si>
  <si>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</si>
  <si>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</si>
  <si>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</si>
  <si>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</si>
  <si>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</si>
  <si>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</si>
  <si>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</si>
  <si>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</si>
  <si>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</si>
  <si>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</si>
  <si>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</si>
  <si>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</si>
  <si>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</si>
  <si>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</si>
  <si>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</si>
  <si>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Total Assets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</si>
  <si>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</si>
  <si>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</si>
  <si>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</si>
  <si>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</si>
  <si>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</si>
  <si>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</si>
  <si>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</si>
  <si>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</si>
  <si>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</si>
  <si>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</si>
  <si>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</si>
  <si>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</si>
  <si>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t>Average Inventory</t>
  </si>
  <si>
    <t>Inventory Turnover Ratio.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</si>
  <si>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</si>
  <si>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</si>
  <si>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</si>
  <si>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</si>
  <si>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</si>
  <si>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Working Capital Turnover Ratio.</t>
  </si>
  <si>
    <t>The business is not using its working capital efficiently to generate sales.</t>
  </si>
  <si>
    <t>In the Books of M/s Evergreen Traders.Preparation of Balance Sheet for the month ended 30th September 2025.</t>
  </si>
  <si>
    <t>Adjustment.</t>
  </si>
  <si>
    <t>Less:Depriciation on motorcar.</t>
  </si>
  <si>
    <t>Current Liabilities:</t>
  </si>
  <si>
    <t>Fixed Assets:</t>
  </si>
  <si>
    <t>The firm has ₹3.30 of current assets for every ₹1 of current liabilities.</t>
  </si>
  <si>
    <t>The firm has ₹2.62 of quick (Liquid) assets for every ₹1 of current Liabilities.</t>
  </si>
  <si>
    <t>The firm has ₹1.49 of cash and cash equivalents for every ₹1 of current liabilities.</t>
  </si>
  <si>
    <t>The firm has ₹0.3064 of debt for every ₹1 of shareholder's equity.</t>
  </si>
  <si>
    <t>The firm has ₹0.2353of debt for every ₹1 of shareholder's equity.</t>
  </si>
  <si>
    <t>The firm finances 23.53% of its assets thrpough debt.</t>
  </si>
  <si>
    <t>The firm generates ₹0.454 of net sales for every ₹1 invested in total assets.</t>
  </si>
  <si>
    <t>The working Capital Turnover Ratio of 0.853 times is below the ideal range of 2 - 4 times.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</si>
  <si>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</si>
  <si>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The inventory turnover ratio is 3.96 times, which is below the ideal range of 5 - 10 tmies.</t>
  </si>
  <si>
    <t>This indicates that inventoery is moving relatively slowly and the business can improve its inventory management and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</si>
</sst>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NumberFormat="1" applyFont="1"/>
    <xf numFmtId="0" fontId="3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1" xfId="1" applyNumberFormat="1" applyFont="1" applyBorder="1"/>
    <xf numFmtId="0" fontId="4" fillId="0" borderId="1" xfId="0" applyFont="1" applyBorder="1"/>
    <xf numFmtId="164" fontId="1" fillId="0" borderId="1" xfId="1" applyNumberFormat="1" applyFont="1" applyBorder="1"/>
    <xf numFmtId="164" fontId="4" fillId="0" borderId="1" xfId="0" applyNumberFormat="1" applyFont="1" applyBorder="1"/>
    <xf numFmtId="164" fontId="1" fillId="0" borderId="1" xfId="1" applyNumberFormat="1" applyFont="1" applyFill="1" applyBorder="1"/>
    <xf numFmtId="14" fontId="4" fillId="0" borderId="1" xfId="0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0" fontId="2" fillId="0" borderId="0" xfId="0" applyFont="1" applyAlignment="1">
      <alignment wrapText="1"/>
    </xf>
    <xf numFmtId="3" fontId="4" fillId="0" borderId="1" xfId="0" applyNumberFormat="1" applyFont="1" applyBorder="1"/>
    <xf numFmtId="164" fontId="0" fillId="0" borderId="0" xfId="0" applyNumberFormat="1"/>
    <xf numFmtId="3" fontId="0" fillId="0" borderId="1" xfId="0" applyNumberFormat="1" applyBorder="1"/>
    <xf numFmtId="164" fontId="0" fillId="0" borderId="1" xfId="1" applyNumberFormat="1" applyFont="1" applyFill="1" applyBorder="1"/>
    <xf numFmtId="0" fontId="5" fillId="0" borderId="1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3" xfId="0" applyFill="1" applyBorder="1"/>
    <xf numFmtId="0" fontId="0" fillId="2" borderId="2" xfId="0" applyFill="1" applyBorder="1" applyAlignment="1">
      <alignment horizontal="right"/>
    </xf>
    <xf numFmtId="164" fontId="0" fillId="2" borderId="3" xfId="1" applyNumberFormat="1" applyFont="1" applyFill="1" applyBorder="1"/>
    <xf numFmtId="43" fontId="4" fillId="2" borderId="3" xfId="1" applyFont="1" applyFill="1" applyBorder="1"/>
    <xf numFmtId="0" fontId="0" fillId="2" borderId="3" xfId="0" applyFill="1" applyBorder="1" applyAlignment="1">
      <alignment wrapText="1"/>
    </xf>
    <xf numFmtId="0" fontId="0" fillId="2" borderId="1" xfId="0" applyFill="1" applyBorder="1"/>
    <xf numFmtId="164" fontId="0" fillId="2" borderId="1" xfId="1" applyNumberFormat="1" applyFont="1" applyFill="1" applyBorder="1"/>
    <xf numFmtId="164" fontId="4" fillId="2" borderId="3" xfId="1" applyNumberFormat="1" applyFont="1" applyFill="1" applyBorder="1" applyAlignment="1">
      <alignment wrapText="1"/>
    </xf>
    <xf numFmtId="43" fontId="0" fillId="2" borderId="1" xfId="1" applyFont="1" applyFill="1" applyBorder="1"/>
    <xf numFmtId="164" fontId="4" fillId="2" borderId="3" xfId="1" applyNumberFormat="1" applyFont="1" applyFill="1" applyBorder="1"/>
    <xf numFmtId="0" fontId="0" fillId="2" borderId="1" xfId="0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4" fillId="2" borderId="3" xfId="1" applyNumberFormat="1" applyFont="1" applyFill="1" applyBorder="1"/>
    <xf numFmtId="166" fontId="4" fillId="2" borderId="3" xfId="1" applyNumberFormat="1" applyFont="1" applyFill="1" applyBorder="1"/>
    <xf numFmtId="0" fontId="0" fillId="2" borderId="4" xfId="0" applyFill="1" applyBorder="1" applyAlignment="1">
      <alignment horizontal="right"/>
    </xf>
    <xf numFmtId="166" fontId="4" fillId="2" borderId="5" xfId="1" applyNumberFormat="1" applyFont="1" applyFill="1" applyBorder="1"/>
    <xf numFmtId="0" fontId="0" fillId="2" borderId="5" xfId="0" applyFill="1" applyBorder="1"/>
    <xf numFmtId="0" fontId="3" fillId="3" borderId="7" xfId="0" applyFont="1" applyFill="1" applyBorder="1" applyAlignment="1">
      <alignment horizontal="center"/>
    </xf>
    <xf numFmtId="0" fontId="0" fillId="3" borderId="5" xfId="0" applyFill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0" fontId="0" fillId="0" borderId="1" xfId="0" applyBorder="1" applyAlignment="1">
      <alignment wrapText="1"/>
    </xf>
    <xf numFmtId="0" fontId="0" fillId="0" borderId="5" xfId="0" applyBorder="1"/>
    <xf numFmtId="164" fontId="0" fillId="0" borderId="8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86F2-47C6-467E-AB2B-153367A14B3D}">
  <dimension ref="A1:A39"/>
  <sheetViews>
    <sheetView tabSelected="1" workbookViewId="0">
      <selection activeCell="A41" sqref="A41"/>
    </sheetView>
  </sheetViews>
  <sheetFormatPr defaultRowHeight="14.4" x14ac:dyDescent="0.3"/>
  <cols>
    <col min="1" max="1" width="146" bestFit="1" customWidth="1"/>
  </cols>
  <sheetData>
    <row r="1" spans="1:1" x14ac:dyDescent="0.3">
      <c r="A1" t="s">
        <v>62</v>
      </c>
    </row>
    <row r="5" spans="1:1" x14ac:dyDescent="0.3">
      <c r="A5" t="s">
        <v>63</v>
      </c>
    </row>
    <row r="6" spans="1:1" x14ac:dyDescent="0.3">
      <c r="A6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9" spans="1:1" x14ac:dyDescent="0.3">
      <c r="A9" t="s">
        <v>67</v>
      </c>
    </row>
    <row r="10" spans="1:1" x14ac:dyDescent="0.3">
      <c r="A10" t="s">
        <v>68</v>
      </c>
    </row>
    <row r="11" spans="1:1" x14ac:dyDescent="0.3">
      <c r="A11" t="s">
        <v>69</v>
      </c>
    </row>
    <row r="12" spans="1:1" x14ac:dyDescent="0.3">
      <c r="A12" t="s">
        <v>70</v>
      </c>
    </row>
    <row r="13" spans="1:1" x14ac:dyDescent="0.3">
      <c r="A13" t="s">
        <v>71</v>
      </c>
    </row>
    <row r="14" spans="1:1" x14ac:dyDescent="0.3">
      <c r="A14" t="s">
        <v>72</v>
      </c>
    </row>
    <row r="15" spans="1:1" x14ac:dyDescent="0.3">
      <c r="A15" t="s">
        <v>73</v>
      </c>
    </row>
    <row r="16" spans="1:1" x14ac:dyDescent="0.3">
      <c r="A16" t="s">
        <v>74</v>
      </c>
    </row>
    <row r="17" spans="1:1" x14ac:dyDescent="0.3">
      <c r="A17" t="s">
        <v>75</v>
      </c>
    </row>
    <row r="18" spans="1:1" x14ac:dyDescent="0.3">
      <c r="A18" t="s">
        <v>76</v>
      </c>
    </row>
    <row r="19" spans="1:1" x14ac:dyDescent="0.3">
      <c r="A19" t="s">
        <v>77</v>
      </c>
    </row>
    <row r="20" spans="1:1" x14ac:dyDescent="0.3">
      <c r="A20" t="s">
        <v>78</v>
      </c>
    </row>
    <row r="21" spans="1:1" x14ac:dyDescent="0.3">
      <c r="A21" t="s">
        <v>79</v>
      </c>
    </row>
    <row r="22" spans="1:1" x14ac:dyDescent="0.3">
      <c r="A22" t="s">
        <v>80</v>
      </c>
    </row>
    <row r="23" spans="1:1" x14ac:dyDescent="0.3">
      <c r="A23" t="s">
        <v>81</v>
      </c>
    </row>
    <row r="24" spans="1:1" x14ac:dyDescent="0.3">
      <c r="A24" t="s">
        <v>82</v>
      </c>
    </row>
    <row r="25" spans="1:1" x14ac:dyDescent="0.3">
      <c r="A25" t="s">
        <v>83</v>
      </c>
    </row>
    <row r="26" spans="1:1" x14ac:dyDescent="0.3">
      <c r="A26" t="s">
        <v>84</v>
      </c>
    </row>
    <row r="27" spans="1:1" x14ac:dyDescent="0.3">
      <c r="A27" t="s">
        <v>85</v>
      </c>
    </row>
    <row r="28" spans="1:1" x14ac:dyDescent="0.3">
      <c r="A28" t="s">
        <v>86</v>
      </c>
    </row>
    <row r="29" spans="1:1" x14ac:dyDescent="0.3">
      <c r="A29" t="s">
        <v>87</v>
      </c>
    </row>
    <row r="30" spans="1:1" x14ac:dyDescent="0.3">
      <c r="A30" t="s">
        <v>88</v>
      </c>
    </row>
    <row r="31" spans="1:1" x14ac:dyDescent="0.3">
      <c r="A31" t="s">
        <v>89</v>
      </c>
    </row>
    <row r="32" spans="1:1" x14ac:dyDescent="0.3">
      <c r="A32" t="s">
        <v>90</v>
      </c>
    </row>
    <row r="33" spans="1:1" x14ac:dyDescent="0.3">
      <c r="A33" t="s">
        <v>91</v>
      </c>
    </row>
    <row r="34" spans="1:1" x14ac:dyDescent="0.3">
      <c r="A34" t="s">
        <v>92</v>
      </c>
    </row>
    <row r="36" spans="1:1" x14ac:dyDescent="0.3">
      <c r="A36" t="s">
        <v>93</v>
      </c>
    </row>
    <row r="37" spans="1:1" x14ac:dyDescent="0.3">
      <c r="A37" t="s">
        <v>94</v>
      </c>
    </row>
    <row r="38" spans="1:1" x14ac:dyDescent="0.3">
      <c r="A38" t="s">
        <v>95</v>
      </c>
    </row>
    <row r="39" spans="1:1" x14ac:dyDescent="0.3">
      <c r="A39" t="s">
        <v>96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98F9-EC5E-4323-A552-903A731E0565}">
  <dimension ref="A1:F250"/>
  <sheetViews>
    <sheetView zoomScale="138" workbookViewId="0">
      <selection sqref="A1:F1"/>
    </sheetView>
  </sheetViews>
  <sheetFormatPr defaultRowHeight="14.4" x14ac:dyDescent="0.3"/>
  <cols>
    <col min="1" max="1" width="10.5546875" bestFit="1" customWidth="1"/>
    <col min="2" max="2" width="50.77734375" customWidth="1"/>
    <col min="3" max="3" width="4.77734375" customWidth="1"/>
    <col min="4" max="4" width="6" customWidth="1"/>
    <col min="5" max="6" width="16.6640625" customWidth="1"/>
  </cols>
  <sheetData>
    <row r="1" spans="1:6" ht="48.6" customHeight="1" x14ac:dyDescent="0.35">
      <c r="A1" s="51" t="s">
        <v>97</v>
      </c>
      <c r="B1" s="51"/>
      <c r="C1" s="51"/>
      <c r="D1" s="51"/>
      <c r="E1" s="51"/>
      <c r="F1" s="51"/>
    </row>
    <row r="3" spans="1:6" ht="17.399999999999999" x14ac:dyDescent="0.3">
      <c r="A3" s="2" t="s">
        <v>0</v>
      </c>
      <c r="B3" s="2" t="s">
        <v>1</v>
      </c>
      <c r="C3" s="2"/>
      <c r="D3" s="2" t="s">
        <v>2</v>
      </c>
      <c r="E3" s="2" t="s">
        <v>3</v>
      </c>
      <c r="F3" s="2" t="s">
        <v>4</v>
      </c>
    </row>
    <row r="4" spans="1:6" x14ac:dyDescent="0.3">
      <c r="A4" s="3">
        <v>45901</v>
      </c>
      <c r="B4" s="4" t="s">
        <v>5</v>
      </c>
      <c r="C4" s="4" t="s">
        <v>6</v>
      </c>
      <c r="D4" s="4"/>
      <c r="E4" s="5">
        <v>100000</v>
      </c>
      <c r="F4" s="5"/>
    </row>
    <row r="5" spans="1:6" x14ac:dyDescent="0.3">
      <c r="A5" s="4"/>
      <c r="B5" s="4" t="s">
        <v>7</v>
      </c>
      <c r="C5" s="4"/>
      <c r="D5" s="4"/>
      <c r="E5" s="5"/>
      <c r="F5" s="5">
        <v>100000</v>
      </c>
    </row>
    <row r="6" spans="1:6" x14ac:dyDescent="0.3">
      <c r="A6" s="4"/>
      <c r="B6" s="4" t="s">
        <v>8</v>
      </c>
      <c r="C6" s="4"/>
      <c r="D6" s="4"/>
      <c r="E6" s="5"/>
      <c r="F6" s="5"/>
    </row>
    <row r="7" spans="1:6" x14ac:dyDescent="0.3">
      <c r="A7" s="3">
        <v>45902</v>
      </c>
      <c r="B7" s="4" t="s">
        <v>12</v>
      </c>
      <c r="C7" s="4" t="s">
        <v>6</v>
      </c>
      <c r="D7" s="4"/>
      <c r="E7" s="5">
        <v>45000</v>
      </c>
      <c r="F7" s="5"/>
    </row>
    <row r="8" spans="1:6" x14ac:dyDescent="0.3">
      <c r="A8" s="4"/>
      <c r="B8" s="4" t="s">
        <v>9</v>
      </c>
      <c r="C8" s="4"/>
      <c r="D8" s="4"/>
      <c r="E8" s="5"/>
      <c r="F8" s="5">
        <v>45000</v>
      </c>
    </row>
    <row r="9" spans="1:6" x14ac:dyDescent="0.3">
      <c r="A9" s="4"/>
      <c r="B9" s="4" t="s">
        <v>10</v>
      </c>
      <c r="C9" s="4"/>
      <c r="D9" s="4"/>
      <c r="E9" s="5"/>
      <c r="F9" s="5"/>
    </row>
    <row r="10" spans="1:6" x14ac:dyDescent="0.3">
      <c r="A10" s="3">
        <v>45903</v>
      </c>
      <c r="B10" s="4" t="s">
        <v>11</v>
      </c>
      <c r="C10" s="4" t="s">
        <v>6</v>
      </c>
      <c r="D10" s="4"/>
      <c r="E10" s="5">
        <v>25000</v>
      </c>
      <c r="F10" s="5"/>
    </row>
    <row r="11" spans="1:6" x14ac:dyDescent="0.3">
      <c r="A11" s="4"/>
      <c r="B11" s="4" t="s">
        <v>13</v>
      </c>
      <c r="C11" s="4"/>
      <c r="D11" s="4"/>
      <c r="E11" s="5"/>
      <c r="F11" s="5">
        <v>25000</v>
      </c>
    </row>
    <row r="12" spans="1:6" x14ac:dyDescent="0.3">
      <c r="A12" s="4"/>
      <c r="B12" s="4" t="s">
        <v>14</v>
      </c>
      <c r="C12" s="4"/>
      <c r="D12" s="4"/>
      <c r="E12" s="5"/>
      <c r="F12" s="5"/>
    </row>
    <row r="13" spans="1:6" x14ac:dyDescent="0.3">
      <c r="A13" s="3">
        <v>45904</v>
      </c>
      <c r="B13" s="4" t="s">
        <v>15</v>
      </c>
      <c r="C13" s="4" t="s">
        <v>6</v>
      </c>
      <c r="D13" s="4"/>
      <c r="E13" s="5">
        <v>8000</v>
      </c>
      <c r="F13" s="5"/>
    </row>
    <row r="14" spans="1:6" x14ac:dyDescent="0.3">
      <c r="A14" s="4"/>
      <c r="B14" s="4" t="s">
        <v>9</v>
      </c>
      <c r="C14" s="4"/>
      <c r="D14" s="4"/>
      <c r="E14" s="5"/>
      <c r="F14" s="5">
        <v>8000</v>
      </c>
    </row>
    <row r="15" spans="1:6" x14ac:dyDescent="0.3">
      <c r="A15" s="4"/>
      <c r="B15" s="4" t="s">
        <v>16</v>
      </c>
      <c r="C15" s="4"/>
      <c r="D15" s="4"/>
      <c r="E15" s="5"/>
      <c r="F15" s="5"/>
    </row>
    <row r="16" spans="1:6" x14ac:dyDescent="0.3">
      <c r="A16" s="3">
        <v>45905</v>
      </c>
      <c r="B16" s="4" t="s">
        <v>17</v>
      </c>
      <c r="C16" s="4" t="s">
        <v>6</v>
      </c>
      <c r="D16" s="4"/>
      <c r="E16" s="5">
        <v>18000</v>
      </c>
      <c r="F16" s="5"/>
    </row>
    <row r="17" spans="1:6" x14ac:dyDescent="0.3">
      <c r="A17" s="4"/>
      <c r="B17" s="4" t="s">
        <v>18</v>
      </c>
      <c r="C17" s="4"/>
      <c r="D17" s="4"/>
      <c r="E17" s="5"/>
      <c r="F17" s="5">
        <v>18000</v>
      </c>
    </row>
    <row r="18" spans="1:6" x14ac:dyDescent="0.3">
      <c r="A18" s="4"/>
      <c r="B18" s="4" t="s">
        <v>19</v>
      </c>
      <c r="C18" s="4"/>
      <c r="D18" s="4"/>
      <c r="E18" s="5"/>
      <c r="F18" s="5"/>
    </row>
    <row r="19" spans="1:6" x14ac:dyDescent="0.3">
      <c r="A19" s="3">
        <v>45907</v>
      </c>
      <c r="B19" s="4" t="s">
        <v>20</v>
      </c>
      <c r="C19" s="4" t="s">
        <v>6</v>
      </c>
      <c r="D19" s="4"/>
      <c r="E19" s="5">
        <v>1200</v>
      </c>
      <c r="F19" s="5"/>
    </row>
    <row r="20" spans="1:6" x14ac:dyDescent="0.3">
      <c r="A20" s="4" t="s">
        <v>21</v>
      </c>
      <c r="B20" s="4" t="s">
        <v>9</v>
      </c>
      <c r="C20" s="4"/>
      <c r="D20" s="4"/>
      <c r="E20" s="5"/>
      <c r="F20" s="5">
        <v>1200</v>
      </c>
    </row>
    <row r="21" spans="1:6" x14ac:dyDescent="0.3">
      <c r="A21" s="4"/>
      <c r="B21" s="4" t="s">
        <v>22</v>
      </c>
      <c r="C21" s="4"/>
      <c r="D21" s="4"/>
      <c r="E21" s="5"/>
      <c r="F21" s="5"/>
    </row>
    <row r="22" spans="1:6" x14ac:dyDescent="0.3">
      <c r="A22" s="3">
        <v>45908</v>
      </c>
      <c r="B22" s="4" t="s">
        <v>5</v>
      </c>
      <c r="C22" s="4" t="s">
        <v>6</v>
      </c>
      <c r="D22" s="4"/>
      <c r="E22" s="5">
        <v>14000</v>
      </c>
      <c r="F22" s="5"/>
    </row>
    <row r="23" spans="1:6" x14ac:dyDescent="0.3">
      <c r="A23" s="4"/>
      <c r="B23" s="4" t="s">
        <v>23</v>
      </c>
      <c r="C23" s="4"/>
      <c r="D23" s="4"/>
      <c r="E23" s="5"/>
      <c r="F23" s="5">
        <v>14000</v>
      </c>
    </row>
    <row r="24" spans="1:6" x14ac:dyDescent="0.3">
      <c r="A24" s="4"/>
      <c r="B24" s="4" t="s">
        <v>24</v>
      </c>
      <c r="C24" s="4"/>
      <c r="D24" s="4"/>
      <c r="E24" s="5"/>
      <c r="F24" s="5"/>
    </row>
    <row r="25" spans="1:6" x14ac:dyDescent="0.3">
      <c r="A25" s="3">
        <v>45910</v>
      </c>
      <c r="B25" s="4" t="s">
        <v>25</v>
      </c>
      <c r="C25" s="4" t="s">
        <v>6</v>
      </c>
      <c r="D25" s="4"/>
      <c r="E25" s="5">
        <v>22000</v>
      </c>
      <c r="F25" s="5"/>
    </row>
    <row r="26" spans="1:6" x14ac:dyDescent="0.3">
      <c r="A26" s="4"/>
      <c r="B26" s="4" t="s">
        <v>23</v>
      </c>
      <c r="C26" s="4"/>
      <c r="D26" s="4"/>
      <c r="E26" s="5"/>
      <c r="F26" s="5">
        <v>22000</v>
      </c>
    </row>
    <row r="27" spans="1:6" x14ac:dyDescent="0.3">
      <c r="A27" s="4"/>
      <c r="B27" s="4" t="s">
        <v>26</v>
      </c>
      <c r="C27" s="4"/>
      <c r="D27" s="4"/>
      <c r="E27" s="5"/>
      <c r="F27" s="5"/>
    </row>
    <row r="28" spans="1:6" x14ac:dyDescent="0.3">
      <c r="A28" s="3">
        <v>45911</v>
      </c>
      <c r="B28" s="4" t="s">
        <v>35</v>
      </c>
      <c r="C28" s="4" t="s">
        <v>6</v>
      </c>
      <c r="D28" s="4"/>
      <c r="E28" s="5">
        <v>1500</v>
      </c>
      <c r="F28" s="5"/>
    </row>
    <row r="29" spans="1:6" x14ac:dyDescent="0.3">
      <c r="A29" s="4"/>
      <c r="B29" s="4" t="s">
        <v>9</v>
      </c>
      <c r="C29" s="4"/>
      <c r="D29" s="4"/>
      <c r="E29" s="5"/>
      <c r="F29" s="5">
        <v>1500</v>
      </c>
    </row>
    <row r="30" spans="1:6" x14ac:dyDescent="0.3">
      <c r="A30" s="4"/>
      <c r="B30" s="4" t="s">
        <v>27</v>
      </c>
      <c r="C30" s="4"/>
      <c r="D30" s="4"/>
      <c r="E30" s="5"/>
      <c r="F30" s="5"/>
    </row>
    <row r="31" spans="1:6" x14ac:dyDescent="0.3">
      <c r="A31" s="3">
        <v>45912</v>
      </c>
      <c r="B31" s="4" t="s">
        <v>28</v>
      </c>
      <c r="C31" s="4" t="s">
        <v>6</v>
      </c>
      <c r="D31" s="4"/>
      <c r="E31" s="5">
        <v>1000</v>
      </c>
      <c r="F31" s="5"/>
    </row>
    <row r="32" spans="1:6" x14ac:dyDescent="0.3">
      <c r="A32" s="4"/>
      <c r="B32" s="4" t="s">
        <v>29</v>
      </c>
      <c r="C32" s="4"/>
      <c r="D32" s="4"/>
      <c r="E32" s="5"/>
      <c r="F32" s="5">
        <v>1000</v>
      </c>
    </row>
    <row r="33" spans="1:6" x14ac:dyDescent="0.3">
      <c r="A33" s="4"/>
      <c r="B33" s="4" t="s">
        <v>30</v>
      </c>
      <c r="C33" s="4"/>
      <c r="D33" s="4"/>
      <c r="E33" s="5"/>
      <c r="F33" s="5"/>
    </row>
    <row r="34" spans="1:6" x14ac:dyDescent="0.3">
      <c r="A34" s="3">
        <v>45913</v>
      </c>
      <c r="B34" s="4" t="s">
        <v>31</v>
      </c>
      <c r="C34" s="4" t="s">
        <v>6</v>
      </c>
      <c r="D34" s="4"/>
      <c r="E34" s="5">
        <v>2000</v>
      </c>
      <c r="F34" s="5"/>
    </row>
    <row r="35" spans="1:6" x14ac:dyDescent="0.3">
      <c r="A35" s="4"/>
      <c r="B35" s="4" t="s">
        <v>32</v>
      </c>
      <c r="C35" s="4"/>
      <c r="D35" s="4"/>
      <c r="E35" s="5"/>
      <c r="F35" s="5">
        <v>2000</v>
      </c>
    </row>
    <row r="36" spans="1:6" x14ac:dyDescent="0.3">
      <c r="A36" s="4"/>
      <c r="B36" s="4" t="s">
        <v>33</v>
      </c>
      <c r="C36" s="4"/>
      <c r="D36" s="4"/>
      <c r="E36" s="5"/>
      <c r="F36" s="5"/>
    </row>
    <row r="37" spans="1:6" x14ac:dyDescent="0.3">
      <c r="A37" s="3">
        <v>45914</v>
      </c>
      <c r="B37" s="4" t="s">
        <v>34</v>
      </c>
      <c r="C37" s="4" t="s">
        <v>6</v>
      </c>
      <c r="D37" s="4"/>
      <c r="E37" s="5">
        <v>900</v>
      </c>
      <c r="F37" s="5"/>
    </row>
    <row r="38" spans="1:6" x14ac:dyDescent="0.3">
      <c r="A38" s="4"/>
      <c r="B38" s="4" t="s">
        <v>9</v>
      </c>
      <c r="C38" s="4"/>
      <c r="D38" s="4"/>
      <c r="E38" s="5"/>
      <c r="F38" s="5">
        <v>900</v>
      </c>
    </row>
    <row r="39" spans="1:6" x14ac:dyDescent="0.3">
      <c r="A39" s="4"/>
      <c r="B39" s="4" t="s">
        <v>36</v>
      </c>
      <c r="C39" s="4"/>
      <c r="D39" s="4"/>
      <c r="E39" s="5"/>
      <c r="F39" s="5"/>
    </row>
    <row r="40" spans="1:6" x14ac:dyDescent="0.3">
      <c r="A40" s="3">
        <v>45915</v>
      </c>
      <c r="B40" s="4" t="s">
        <v>12</v>
      </c>
      <c r="C40" s="4" t="s">
        <v>6</v>
      </c>
      <c r="D40" s="4"/>
      <c r="E40" s="5">
        <v>15000</v>
      </c>
      <c r="F40" s="5"/>
    </row>
    <row r="41" spans="1:6" x14ac:dyDescent="0.3">
      <c r="A41" s="4"/>
      <c r="B41" s="4" t="s">
        <v>32</v>
      </c>
      <c r="C41" s="4"/>
      <c r="D41" s="4"/>
      <c r="E41" s="5"/>
      <c r="F41" s="5">
        <v>15000</v>
      </c>
    </row>
    <row r="42" spans="1:6" x14ac:dyDescent="0.3">
      <c r="A42" s="4"/>
      <c r="B42" s="4" t="s">
        <v>37</v>
      </c>
      <c r="C42" s="4"/>
      <c r="D42" s="4"/>
      <c r="E42" s="5"/>
      <c r="F42" s="5"/>
    </row>
    <row r="43" spans="1:6" x14ac:dyDescent="0.3">
      <c r="A43" s="3">
        <v>45916</v>
      </c>
      <c r="B43" s="4" t="s">
        <v>28</v>
      </c>
      <c r="C43" s="4" t="s">
        <v>6</v>
      </c>
      <c r="D43" s="4"/>
      <c r="E43" s="5">
        <v>10000</v>
      </c>
      <c r="F43" s="5"/>
    </row>
    <row r="44" spans="1:6" x14ac:dyDescent="0.3">
      <c r="A44" s="4"/>
      <c r="B44" s="4" t="s">
        <v>38</v>
      </c>
      <c r="C44" s="4"/>
      <c r="D44" s="4"/>
      <c r="E44" s="5"/>
      <c r="F44" s="5">
        <v>10000</v>
      </c>
    </row>
    <row r="45" spans="1:6" x14ac:dyDescent="0.3">
      <c r="A45" s="4"/>
      <c r="B45" s="4" t="s">
        <v>39</v>
      </c>
      <c r="C45" s="4"/>
      <c r="D45" s="4"/>
      <c r="E45" s="5"/>
      <c r="F45" s="5"/>
    </row>
    <row r="46" spans="1:6" x14ac:dyDescent="0.3">
      <c r="A46" s="3">
        <v>45917</v>
      </c>
      <c r="B46" s="4" t="s">
        <v>17</v>
      </c>
      <c r="C46" s="4" t="s">
        <v>6</v>
      </c>
      <c r="D46" s="4"/>
      <c r="E46" s="5">
        <v>11000</v>
      </c>
      <c r="F46" s="5"/>
    </row>
    <row r="47" spans="1:6" x14ac:dyDescent="0.3">
      <c r="A47" s="4"/>
      <c r="B47" s="4" t="s">
        <v>9</v>
      </c>
      <c r="C47" s="4"/>
      <c r="D47" s="4"/>
      <c r="E47" s="5"/>
      <c r="F47" s="5">
        <v>11000</v>
      </c>
    </row>
    <row r="48" spans="1:6" x14ac:dyDescent="0.3">
      <c r="A48" s="4"/>
      <c r="B48" s="4" t="s">
        <v>40</v>
      </c>
      <c r="C48" s="4"/>
      <c r="D48" s="4"/>
      <c r="E48" s="5"/>
      <c r="F48" s="5"/>
    </row>
    <row r="49" spans="1:6" x14ac:dyDescent="0.3">
      <c r="A49" s="3">
        <v>45918</v>
      </c>
      <c r="B49" s="4" t="s">
        <v>41</v>
      </c>
      <c r="C49" s="4" t="s">
        <v>6</v>
      </c>
      <c r="D49" s="4"/>
      <c r="E49" s="5">
        <v>3500</v>
      </c>
      <c r="F49" s="5"/>
    </row>
    <row r="50" spans="1:6" x14ac:dyDescent="0.3">
      <c r="A50" s="4"/>
      <c r="B50" s="4" t="s">
        <v>38</v>
      </c>
      <c r="C50" s="4"/>
      <c r="D50" s="4"/>
      <c r="E50" s="5"/>
      <c r="F50" s="5">
        <v>3500</v>
      </c>
    </row>
    <row r="51" spans="1:6" x14ac:dyDescent="0.3">
      <c r="A51" s="4"/>
      <c r="B51" s="4" t="s">
        <v>42</v>
      </c>
      <c r="C51" s="4"/>
      <c r="D51" s="4"/>
      <c r="E51" s="5"/>
      <c r="F51" s="5"/>
    </row>
    <row r="52" spans="1:6" x14ac:dyDescent="0.3">
      <c r="A52" s="3">
        <v>45919</v>
      </c>
      <c r="B52" s="4" t="s">
        <v>43</v>
      </c>
      <c r="C52" s="4" t="s">
        <v>6</v>
      </c>
      <c r="D52" s="4"/>
      <c r="E52" s="5">
        <v>4800</v>
      </c>
      <c r="F52" s="5"/>
    </row>
    <row r="53" spans="1:6" x14ac:dyDescent="0.3">
      <c r="A53" s="4"/>
      <c r="B53" s="4" t="s">
        <v>9</v>
      </c>
      <c r="C53" s="4"/>
      <c r="D53" s="4"/>
      <c r="E53" s="5"/>
      <c r="F53" s="5">
        <v>4800</v>
      </c>
    </row>
    <row r="54" spans="1:6" x14ac:dyDescent="0.3">
      <c r="A54" s="4"/>
      <c r="B54" s="4" t="s">
        <v>44</v>
      </c>
      <c r="C54" s="4"/>
      <c r="D54" s="4"/>
      <c r="E54" s="5"/>
      <c r="F54" s="5"/>
    </row>
    <row r="55" spans="1:6" x14ac:dyDescent="0.3">
      <c r="A55" s="3">
        <v>45920</v>
      </c>
      <c r="B55" s="4" t="s">
        <v>5</v>
      </c>
      <c r="C55" s="4" t="s">
        <v>6</v>
      </c>
      <c r="D55" s="4"/>
      <c r="E55" s="5">
        <v>16500</v>
      </c>
      <c r="F55" s="5"/>
    </row>
    <row r="56" spans="1:6" x14ac:dyDescent="0.3">
      <c r="A56" s="4"/>
      <c r="B56" s="4" t="s">
        <v>23</v>
      </c>
      <c r="C56" s="4"/>
      <c r="D56" s="4"/>
      <c r="E56" s="5"/>
      <c r="F56" s="5">
        <v>16500</v>
      </c>
    </row>
    <row r="57" spans="1:6" x14ac:dyDescent="0.3">
      <c r="A57" s="4"/>
      <c r="B57" s="4" t="s">
        <v>24</v>
      </c>
      <c r="C57" s="4"/>
      <c r="D57" s="4"/>
      <c r="E57" s="5"/>
      <c r="F57" s="5"/>
    </row>
    <row r="58" spans="1:6" x14ac:dyDescent="0.3">
      <c r="A58" s="3">
        <v>45921</v>
      </c>
      <c r="B58" s="4" t="s">
        <v>45</v>
      </c>
      <c r="C58" s="4" t="s">
        <v>6</v>
      </c>
      <c r="D58" s="4"/>
      <c r="E58" s="5">
        <v>3000</v>
      </c>
      <c r="F58" s="5"/>
    </row>
    <row r="59" spans="1:6" x14ac:dyDescent="0.3">
      <c r="A59" s="4"/>
      <c r="B59" s="4" t="s">
        <v>9</v>
      </c>
      <c r="C59" s="4"/>
      <c r="D59" s="4"/>
      <c r="E59" s="5"/>
      <c r="F59" s="5">
        <v>3000</v>
      </c>
    </row>
    <row r="60" spans="1:6" x14ac:dyDescent="0.3">
      <c r="A60" s="4"/>
      <c r="B60" s="4" t="s">
        <v>46</v>
      </c>
      <c r="C60" s="4"/>
      <c r="D60" s="4"/>
      <c r="E60" s="5"/>
      <c r="F60" s="5"/>
    </row>
    <row r="61" spans="1:6" x14ac:dyDescent="0.3">
      <c r="A61" s="3">
        <v>45922</v>
      </c>
      <c r="B61" s="4" t="s">
        <v>17</v>
      </c>
      <c r="C61" s="4" t="s">
        <v>6</v>
      </c>
      <c r="D61" s="4"/>
      <c r="E61" s="5">
        <v>12000</v>
      </c>
      <c r="F61" s="5"/>
    </row>
    <row r="62" spans="1:6" x14ac:dyDescent="0.3">
      <c r="A62" s="4"/>
      <c r="B62" s="4" t="s">
        <v>18</v>
      </c>
      <c r="C62" s="4"/>
      <c r="D62" s="4"/>
      <c r="E62" s="5"/>
      <c r="F62" s="5">
        <v>12000</v>
      </c>
    </row>
    <row r="63" spans="1:6" x14ac:dyDescent="0.3">
      <c r="A63" s="4"/>
      <c r="B63" s="4" t="s">
        <v>47</v>
      </c>
      <c r="C63" s="4"/>
      <c r="D63" s="4"/>
      <c r="E63" s="5"/>
      <c r="F63" s="5"/>
    </row>
    <row r="64" spans="1:6" x14ac:dyDescent="0.3">
      <c r="A64" s="3">
        <v>45923</v>
      </c>
      <c r="B64" s="4" t="s">
        <v>25</v>
      </c>
      <c r="C64" s="4" t="s">
        <v>6</v>
      </c>
      <c r="D64" s="4"/>
      <c r="E64" s="5">
        <v>19000</v>
      </c>
      <c r="F64" s="5"/>
    </row>
    <row r="65" spans="1:6" x14ac:dyDescent="0.3">
      <c r="A65" s="4"/>
      <c r="B65" s="4" t="s">
        <v>23</v>
      </c>
      <c r="C65" s="4"/>
      <c r="D65" s="4"/>
      <c r="E65" s="5"/>
      <c r="F65" s="5">
        <v>19000</v>
      </c>
    </row>
    <row r="66" spans="1:6" x14ac:dyDescent="0.3">
      <c r="A66" s="4"/>
      <c r="B66" s="4" t="s">
        <v>48</v>
      </c>
      <c r="C66" s="4"/>
      <c r="D66" s="4"/>
      <c r="E66" s="5"/>
      <c r="F66" s="5"/>
    </row>
    <row r="67" spans="1:6" x14ac:dyDescent="0.3">
      <c r="A67" s="3">
        <v>45924</v>
      </c>
      <c r="B67" s="4" t="s">
        <v>5</v>
      </c>
      <c r="C67" s="4" t="s">
        <v>6</v>
      </c>
      <c r="D67" s="4"/>
      <c r="E67" s="5">
        <v>1800</v>
      </c>
      <c r="F67" s="5"/>
    </row>
    <row r="68" spans="1:6" x14ac:dyDescent="0.3">
      <c r="A68" s="4"/>
      <c r="B68" s="4" t="s">
        <v>174</v>
      </c>
      <c r="C68" s="4"/>
      <c r="D68" s="4"/>
      <c r="E68" s="5"/>
      <c r="F68" s="5">
        <v>1800</v>
      </c>
    </row>
    <row r="69" spans="1:6" x14ac:dyDescent="0.3">
      <c r="A69" s="4"/>
      <c r="B69" s="4" t="s">
        <v>49</v>
      </c>
      <c r="C69" s="4"/>
      <c r="D69" s="4"/>
      <c r="E69" s="5"/>
      <c r="F69" s="5"/>
    </row>
    <row r="70" spans="1:6" x14ac:dyDescent="0.3">
      <c r="A70" s="3">
        <v>45925</v>
      </c>
      <c r="B70" s="4" t="s">
        <v>170</v>
      </c>
      <c r="C70" s="4" t="s">
        <v>6</v>
      </c>
      <c r="D70" s="4"/>
      <c r="E70" s="5">
        <v>10000</v>
      </c>
      <c r="F70" s="5"/>
    </row>
    <row r="71" spans="1:6" x14ac:dyDescent="0.3">
      <c r="A71" s="4"/>
      <c r="B71" s="4" t="s">
        <v>38</v>
      </c>
      <c r="C71" s="4"/>
      <c r="D71" s="4"/>
      <c r="E71" s="5"/>
      <c r="F71" s="5">
        <v>10000</v>
      </c>
    </row>
    <row r="72" spans="1:6" x14ac:dyDescent="0.3">
      <c r="A72" s="4"/>
      <c r="B72" s="4" t="s">
        <v>50</v>
      </c>
      <c r="C72" s="4"/>
      <c r="D72" s="4"/>
      <c r="E72" s="5"/>
      <c r="F72" s="5"/>
    </row>
    <row r="73" spans="1:6" x14ac:dyDescent="0.3">
      <c r="A73" s="3">
        <v>45926</v>
      </c>
      <c r="B73" s="4" t="s">
        <v>51</v>
      </c>
      <c r="C73" s="4" t="s">
        <v>6</v>
      </c>
      <c r="D73" s="4"/>
      <c r="E73" s="5">
        <v>4000</v>
      </c>
      <c r="F73" s="5"/>
    </row>
    <row r="74" spans="1:6" x14ac:dyDescent="0.3">
      <c r="A74" s="4"/>
      <c r="B74" s="4" t="s">
        <v>38</v>
      </c>
      <c r="C74" s="4"/>
      <c r="D74" s="4"/>
      <c r="E74" s="5"/>
      <c r="F74" s="5">
        <v>4000</v>
      </c>
    </row>
    <row r="75" spans="1:6" x14ac:dyDescent="0.3">
      <c r="A75" s="4"/>
      <c r="B75" s="4" t="s">
        <v>52</v>
      </c>
      <c r="C75" s="4"/>
      <c r="D75" s="4"/>
      <c r="E75" s="5"/>
      <c r="F75" s="5"/>
    </row>
    <row r="76" spans="1:6" x14ac:dyDescent="0.3">
      <c r="A76" s="3">
        <v>45927</v>
      </c>
      <c r="B76" s="4" t="s">
        <v>53</v>
      </c>
      <c r="C76" s="4" t="s">
        <v>6</v>
      </c>
      <c r="D76" s="4"/>
      <c r="E76" s="5">
        <v>1100</v>
      </c>
      <c r="F76" s="5"/>
    </row>
    <row r="77" spans="1:6" x14ac:dyDescent="0.3">
      <c r="A77" s="4"/>
      <c r="B77" s="4" t="s">
        <v>9</v>
      </c>
      <c r="C77" s="4"/>
      <c r="D77" s="4"/>
      <c r="E77" s="5"/>
      <c r="F77" s="5">
        <v>1100</v>
      </c>
    </row>
    <row r="78" spans="1:6" x14ac:dyDescent="0.3">
      <c r="A78" s="4"/>
      <c r="B78" s="4" t="s">
        <v>54</v>
      </c>
      <c r="C78" s="4"/>
      <c r="D78" s="4"/>
      <c r="E78" s="5"/>
      <c r="F78" s="5"/>
    </row>
    <row r="79" spans="1:6" x14ac:dyDescent="0.3">
      <c r="A79" s="3">
        <v>45928</v>
      </c>
      <c r="B79" s="4" t="s">
        <v>12</v>
      </c>
      <c r="C79" s="4" t="s">
        <v>6</v>
      </c>
      <c r="D79" s="4"/>
      <c r="E79" s="5">
        <v>12000</v>
      </c>
      <c r="F79" s="5"/>
    </row>
    <row r="80" spans="1:6" x14ac:dyDescent="0.3">
      <c r="A80" s="4"/>
      <c r="B80" s="4" t="s">
        <v>32</v>
      </c>
      <c r="C80" s="4"/>
      <c r="D80" s="4"/>
      <c r="E80" s="5"/>
      <c r="F80" s="5">
        <v>12000</v>
      </c>
    </row>
    <row r="81" spans="1:6" x14ac:dyDescent="0.3">
      <c r="A81" s="4"/>
      <c r="B81" s="4" t="s">
        <v>37</v>
      </c>
      <c r="C81" s="4"/>
      <c r="D81" s="4"/>
      <c r="E81" s="5"/>
      <c r="F81" s="5"/>
    </row>
    <row r="82" spans="1:6" x14ac:dyDescent="0.3">
      <c r="A82" s="3">
        <v>45928</v>
      </c>
      <c r="B82" s="4" t="s">
        <v>118</v>
      </c>
      <c r="C82" s="4" t="s">
        <v>6</v>
      </c>
      <c r="D82" s="4"/>
      <c r="E82" s="5">
        <v>1600</v>
      </c>
      <c r="F82" s="5"/>
    </row>
    <row r="83" spans="1:6" x14ac:dyDescent="0.3">
      <c r="A83" s="4"/>
      <c r="B83" s="4" t="s">
        <v>9</v>
      </c>
      <c r="C83" s="4"/>
      <c r="D83" s="4"/>
      <c r="E83" s="5"/>
      <c r="F83" s="5">
        <v>1600</v>
      </c>
    </row>
    <row r="84" spans="1:6" x14ac:dyDescent="0.3">
      <c r="A84" s="4"/>
      <c r="B84" s="4" t="s">
        <v>55</v>
      </c>
      <c r="C84" s="4"/>
      <c r="D84" s="4"/>
      <c r="E84" s="5"/>
      <c r="F84" s="5"/>
    </row>
    <row r="85" spans="1:6" x14ac:dyDescent="0.3">
      <c r="A85" s="3">
        <v>46294</v>
      </c>
      <c r="B85" s="4" t="s">
        <v>61</v>
      </c>
      <c r="C85" s="4" t="s">
        <v>6</v>
      </c>
      <c r="D85" s="4"/>
      <c r="E85" s="5">
        <v>400</v>
      </c>
      <c r="F85" s="5"/>
    </row>
    <row r="86" spans="1:6" x14ac:dyDescent="0.3">
      <c r="A86" s="4"/>
      <c r="B86" s="4" t="s">
        <v>38</v>
      </c>
      <c r="C86" s="4"/>
      <c r="D86" s="4"/>
      <c r="E86" s="5"/>
      <c r="F86" s="5">
        <v>400</v>
      </c>
    </row>
    <row r="87" spans="1:6" x14ac:dyDescent="0.3">
      <c r="A87" s="4"/>
      <c r="B87" s="4" t="s">
        <v>56</v>
      </c>
      <c r="C87" s="4"/>
      <c r="D87" s="4"/>
      <c r="E87" s="5"/>
      <c r="F87" s="5"/>
    </row>
    <row r="88" spans="1:6" x14ac:dyDescent="0.3">
      <c r="A88" s="3">
        <v>46295</v>
      </c>
      <c r="B88" s="4" t="s">
        <v>57</v>
      </c>
      <c r="C88" s="4" t="s">
        <v>6</v>
      </c>
      <c r="D88" s="4"/>
      <c r="E88" s="5">
        <v>1300</v>
      </c>
      <c r="F88" s="5"/>
    </row>
    <row r="89" spans="1:6" x14ac:dyDescent="0.3">
      <c r="A89" s="4"/>
      <c r="B89" s="4" t="s">
        <v>9</v>
      </c>
      <c r="C89" s="4"/>
      <c r="D89" s="4"/>
      <c r="E89" s="5"/>
      <c r="F89" s="5">
        <v>1300</v>
      </c>
    </row>
    <row r="90" spans="1:6" x14ac:dyDescent="0.3">
      <c r="A90" s="4"/>
      <c r="B90" s="4" t="s">
        <v>58</v>
      </c>
      <c r="C90" s="4"/>
      <c r="D90" s="4"/>
      <c r="E90" s="5"/>
      <c r="F90" s="5"/>
    </row>
    <row r="91" spans="1:6" x14ac:dyDescent="0.3">
      <c r="A91" s="3">
        <v>46295</v>
      </c>
      <c r="B91" s="4" t="s">
        <v>59</v>
      </c>
      <c r="C91" s="4" t="s">
        <v>6</v>
      </c>
      <c r="D91" s="4"/>
      <c r="E91" s="5">
        <v>10000</v>
      </c>
      <c r="F91" s="5"/>
    </row>
    <row r="92" spans="1:6" x14ac:dyDescent="0.3">
      <c r="A92" s="4"/>
      <c r="B92" s="4" t="s">
        <v>38</v>
      </c>
      <c r="C92" s="4"/>
      <c r="D92" s="4"/>
      <c r="E92" s="5"/>
      <c r="F92" s="5">
        <v>10000</v>
      </c>
    </row>
    <row r="93" spans="1:6" x14ac:dyDescent="0.3">
      <c r="A93" s="4"/>
      <c r="B93" s="4" t="s">
        <v>60</v>
      </c>
      <c r="C93" s="4"/>
      <c r="D93" s="4"/>
      <c r="E93" s="5"/>
      <c r="F93" s="5"/>
    </row>
    <row r="94" spans="1:6" x14ac:dyDescent="0.3">
      <c r="E94" s="1"/>
      <c r="F94" s="1"/>
    </row>
    <row r="95" spans="1:6" x14ac:dyDescent="0.3">
      <c r="E95" s="1"/>
      <c r="F95" s="1"/>
    </row>
    <row r="96" spans="1:6" x14ac:dyDescent="0.3">
      <c r="E96" s="1"/>
      <c r="F96" s="1"/>
    </row>
    <row r="97" spans="5:6" x14ac:dyDescent="0.3">
      <c r="E97" s="1"/>
      <c r="F97" s="1"/>
    </row>
    <row r="98" spans="5:6" x14ac:dyDescent="0.3">
      <c r="E98" s="1"/>
      <c r="F98" s="1"/>
    </row>
    <row r="99" spans="5:6" x14ac:dyDescent="0.3">
      <c r="E99" s="1"/>
      <c r="F99" s="1"/>
    </row>
    <row r="100" spans="5:6" x14ac:dyDescent="0.3">
      <c r="E100" s="1"/>
      <c r="F100" s="1"/>
    </row>
    <row r="101" spans="5:6" x14ac:dyDescent="0.3">
      <c r="E101" s="1"/>
      <c r="F101" s="1"/>
    </row>
    <row r="102" spans="5:6" x14ac:dyDescent="0.3">
      <c r="E102" s="1"/>
      <c r="F102" s="1"/>
    </row>
    <row r="103" spans="5:6" x14ac:dyDescent="0.3">
      <c r="E103" s="1"/>
      <c r="F103" s="1"/>
    </row>
    <row r="104" spans="5:6" x14ac:dyDescent="0.3">
      <c r="E104" s="1"/>
      <c r="F104" s="1"/>
    </row>
    <row r="105" spans="5:6" x14ac:dyDescent="0.3">
      <c r="E105" s="1"/>
      <c r="F105" s="1"/>
    </row>
    <row r="106" spans="5:6" x14ac:dyDescent="0.3">
      <c r="E106" s="1"/>
      <c r="F106" s="1"/>
    </row>
    <row r="107" spans="5:6" x14ac:dyDescent="0.3">
      <c r="E107" s="1"/>
      <c r="F107" s="1"/>
    </row>
    <row r="108" spans="5:6" x14ac:dyDescent="0.3">
      <c r="E108" s="1"/>
      <c r="F108" s="1"/>
    </row>
    <row r="109" spans="5:6" x14ac:dyDescent="0.3">
      <c r="E109" s="1"/>
      <c r="F109" s="1"/>
    </row>
    <row r="110" spans="5:6" x14ac:dyDescent="0.3">
      <c r="E110" s="1"/>
      <c r="F110" s="1"/>
    </row>
    <row r="111" spans="5:6" x14ac:dyDescent="0.3">
      <c r="E111" s="1"/>
      <c r="F111" s="1"/>
    </row>
    <row r="112" spans="5:6" x14ac:dyDescent="0.3">
      <c r="E112" s="1"/>
      <c r="F112" s="1"/>
    </row>
    <row r="113" spans="5:6" x14ac:dyDescent="0.3">
      <c r="E113" s="1"/>
      <c r="F113" s="1"/>
    </row>
    <row r="114" spans="5:6" x14ac:dyDescent="0.3">
      <c r="E114" s="1"/>
      <c r="F114" s="1"/>
    </row>
    <row r="115" spans="5:6" x14ac:dyDescent="0.3">
      <c r="E115" s="1"/>
      <c r="F115" s="1"/>
    </row>
    <row r="116" spans="5:6" x14ac:dyDescent="0.3">
      <c r="E116" s="1"/>
      <c r="F116" s="1"/>
    </row>
    <row r="117" spans="5:6" x14ac:dyDescent="0.3">
      <c r="E117" s="1"/>
      <c r="F117" s="1"/>
    </row>
    <row r="118" spans="5:6" x14ac:dyDescent="0.3">
      <c r="E118" s="1"/>
      <c r="F118" s="1"/>
    </row>
    <row r="119" spans="5:6" x14ac:dyDescent="0.3">
      <c r="E119" s="1"/>
      <c r="F119" s="1"/>
    </row>
    <row r="120" spans="5:6" x14ac:dyDescent="0.3">
      <c r="E120" s="1"/>
      <c r="F120" s="1"/>
    </row>
    <row r="121" spans="5:6" x14ac:dyDescent="0.3">
      <c r="E121" s="1"/>
      <c r="F121" s="1"/>
    </row>
    <row r="122" spans="5:6" x14ac:dyDescent="0.3">
      <c r="E122" s="1"/>
      <c r="F122" s="1"/>
    </row>
    <row r="123" spans="5:6" x14ac:dyDescent="0.3">
      <c r="E123" s="1"/>
      <c r="F123" s="1"/>
    </row>
    <row r="124" spans="5:6" x14ac:dyDescent="0.3">
      <c r="E124" s="1"/>
      <c r="F124" s="1"/>
    </row>
    <row r="125" spans="5:6" x14ac:dyDescent="0.3">
      <c r="E125" s="1"/>
      <c r="F125" s="1"/>
    </row>
    <row r="126" spans="5:6" x14ac:dyDescent="0.3">
      <c r="E126" s="1"/>
      <c r="F126" s="1"/>
    </row>
    <row r="127" spans="5:6" x14ac:dyDescent="0.3">
      <c r="E127" s="1"/>
      <c r="F127" s="1"/>
    </row>
    <row r="128" spans="5:6" x14ac:dyDescent="0.3">
      <c r="E128" s="1"/>
      <c r="F128" s="1"/>
    </row>
    <row r="129" spans="5:6" x14ac:dyDescent="0.3">
      <c r="E129" s="1"/>
      <c r="F129" s="1"/>
    </row>
    <row r="130" spans="5:6" x14ac:dyDescent="0.3">
      <c r="E130" s="1"/>
      <c r="F130" s="1"/>
    </row>
    <row r="131" spans="5:6" x14ac:dyDescent="0.3">
      <c r="E131" s="1"/>
      <c r="F131" s="1"/>
    </row>
    <row r="132" spans="5:6" x14ac:dyDescent="0.3">
      <c r="E132" s="1"/>
      <c r="F132" s="1"/>
    </row>
    <row r="133" spans="5:6" x14ac:dyDescent="0.3">
      <c r="E133" s="1"/>
      <c r="F133" s="1"/>
    </row>
    <row r="134" spans="5:6" x14ac:dyDescent="0.3">
      <c r="E134" s="1"/>
      <c r="F134" s="1"/>
    </row>
    <row r="135" spans="5:6" x14ac:dyDescent="0.3">
      <c r="E135" s="1"/>
      <c r="F135" s="1"/>
    </row>
    <row r="136" spans="5:6" x14ac:dyDescent="0.3">
      <c r="E136" s="1"/>
      <c r="F136" s="1"/>
    </row>
    <row r="137" spans="5:6" x14ac:dyDescent="0.3">
      <c r="E137" s="1"/>
      <c r="F137" s="1"/>
    </row>
    <row r="138" spans="5:6" x14ac:dyDescent="0.3">
      <c r="E138" s="1"/>
      <c r="F138" s="1"/>
    </row>
    <row r="139" spans="5:6" x14ac:dyDescent="0.3">
      <c r="E139" s="1"/>
      <c r="F139" s="1"/>
    </row>
    <row r="140" spans="5:6" x14ac:dyDescent="0.3">
      <c r="E140" s="1"/>
      <c r="F140" s="1"/>
    </row>
    <row r="141" spans="5:6" x14ac:dyDescent="0.3">
      <c r="E141" s="1"/>
      <c r="F141" s="1"/>
    </row>
    <row r="142" spans="5:6" x14ac:dyDescent="0.3">
      <c r="E142" s="1"/>
      <c r="F142" s="1"/>
    </row>
    <row r="143" spans="5:6" x14ac:dyDescent="0.3">
      <c r="E143" s="1"/>
      <c r="F143" s="1"/>
    </row>
    <row r="144" spans="5:6" x14ac:dyDescent="0.3">
      <c r="E144" s="1"/>
      <c r="F144" s="1"/>
    </row>
    <row r="145" spans="5:6" x14ac:dyDescent="0.3">
      <c r="E145" s="1"/>
      <c r="F145" s="1"/>
    </row>
    <row r="146" spans="5:6" x14ac:dyDescent="0.3">
      <c r="E146" s="1"/>
      <c r="F146" s="1"/>
    </row>
    <row r="147" spans="5:6" x14ac:dyDescent="0.3">
      <c r="E147" s="1"/>
      <c r="F147" s="1"/>
    </row>
    <row r="148" spans="5:6" x14ac:dyDescent="0.3">
      <c r="E148" s="1"/>
      <c r="F148" s="1"/>
    </row>
    <row r="149" spans="5:6" x14ac:dyDescent="0.3">
      <c r="E149" s="1"/>
      <c r="F149" s="1"/>
    </row>
    <row r="150" spans="5:6" x14ac:dyDescent="0.3">
      <c r="E150" s="1"/>
      <c r="F150" s="1"/>
    </row>
    <row r="151" spans="5:6" x14ac:dyDescent="0.3">
      <c r="E151" s="1"/>
      <c r="F151" s="1"/>
    </row>
    <row r="152" spans="5:6" x14ac:dyDescent="0.3">
      <c r="E152" s="1"/>
      <c r="F152" s="1"/>
    </row>
    <row r="153" spans="5:6" x14ac:dyDescent="0.3">
      <c r="E153" s="1"/>
      <c r="F153" s="1"/>
    </row>
    <row r="154" spans="5:6" x14ac:dyDescent="0.3">
      <c r="E154" s="1"/>
      <c r="F154" s="1"/>
    </row>
    <row r="155" spans="5:6" x14ac:dyDescent="0.3">
      <c r="E155" s="1"/>
      <c r="F155" s="1"/>
    </row>
    <row r="156" spans="5:6" x14ac:dyDescent="0.3">
      <c r="E156" s="1"/>
      <c r="F156" s="1"/>
    </row>
    <row r="157" spans="5:6" x14ac:dyDescent="0.3">
      <c r="E157" s="1"/>
      <c r="F157" s="1"/>
    </row>
    <row r="158" spans="5:6" x14ac:dyDescent="0.3">
      <c r="E158" s="1"/>
      <c r="F158" s="1"/>
    </row>
    <row r="159" spans="5:6" x14ac:dyDescent="0.3">
      <c r="E159" s="1"/>
      <c r="F159" s="1"/>
    </row>
    <row r="160" spans="5:6" x14ac:dyDescent="0.3">
      <c r="E160" s="1"/>
      <c r="F160" s="1"/>
    </row>
    <row r="161" spans="5:6" x14ac:dyDescent="0.3">
      <c r="E161" s="1"/>
      <c r="F161" s="1"/>
    </row>
    <row r="162" spans="5:6" x14ac:dyDescent="0.3">
      <c r="E162" s="1"/>
      <c r="F162" s="1"/>
    </row>
    <row r="163" spans="5:6" x14ac:dyDescent="0.3">
      <c r="E163" s="1"/>
      <c r="F163" s="1"/>
    </row>
    <row r="164" spans="5:6" x14ac:dyDescent="0.3">
      <c r="E164" s="1"/>
      <c r="F164" s="1"/>
    </row>
    <row r="165" spans="5:6" x14ac:dyDescent="0.3">
      <c r="E165" s="1"/>
      <c r="F165" s="1"/>
    </row>
    <row r="166" spans="5:6" x14ac:dyDescent="0.3">
      <c r="E166" s="1"/>
      <c r="F166" s="1"/>
    </row>
    <row r="167" spans="5:6" x14ac:dyDescent="0.3">
      <c r="E167" s="1"/>
      <c r="F167" s="1"/>
    </row>
    <row r="168" spans="5:6" x14ac:dyDescent="0.3">
      <c r="E168" s="1"/>
      <c r="F168" s="1"/>
    </row>
    <row r="169" spans="5:6" x14ac:dyDescent="0.3">
      <c r="E169" s="1"/>
      <c r="F169" s="1"/>
    </row>
    <row r="170" spans="5:6" x14ac:dyDescent="0.3">
      <c r="E170" s="1"/>
      <c r="F170" s="1"/>
    </row>
    <row r="171" spans="5:6" x14ac:dyDescent="0.3">
      <c r="E171" s="1"/>
      <c r="F171" s="1"/>
    </row>
    <row r="172" spans="5:6" x14ac:dyDescent="0.3">
      <c r="E172" s="1"/>
      <c r="F172" s="1"/>
    </row>
    <row r="173" spans="5:6" x14ac:dyDescent="0.3">
      <c r="E173" s="1"/>
      <c r="F173" s="1"/>
    </row>
    <row r="174" spans="5:6" x14ac:dyDescent="0.3">
      <c r="E174" s="1"/>
      <c r="F174" s="1"/>
    </row>
    <row r="175" spans="5:6" x14ac:dyDescent="0.3">
      <c r="E175" s="1"/>
      <c r="F175" s="1"/>
    </row>
    <row r="176" spans="5:6" x14ac:dyDescent="0.3">
      <c r="E176" s="1"/>
      <c r="F176" s="1"/>
    </row>
    <row r="177" spans="5:6" x14ac:dyDescent="0.3">
      <c r="E177" s="1"/>
      <c r="F177" s="1"/>
    </row>
    <row r="178" spans="5:6" x14ac:dyDescent="0.3">
      <c r="E178" s="1"/>
      <c r="F178" s="1"/>
    </row>
    <row r="179" spans="5:6" x14ac:dyDescent="0.3">
      <c r="E179" s="1"/>
      <c r="F179" s="1"/>
    </row>
    <row r="180" spans="5:6" x14ac:dyDescent="0.3">
      <c r="E180" s="1"/>
      <c r="F180" s="1"/>
    </row>
    <row r="181" spans="5:6" x14ac:dyDescent="0.3">
      <c r="E181" s="1"/>
      <c r="F181" s="1"/>
    </row>
    <row r="182" spans="5:6" x14ac:dyDescent="0.3">
      <c r="E182" s="1"/>
      <c r="F182" s="1"/>
    </row>
    <row r="183" spans="5:6" x14ac:dyDescent="0.3">
      <c r="E183" s="1"/>
      <c r="F183" s="1"/>
    </row>
    <row r="184" spans="5:6" x14ac:dyDescent="0.3">
      <c r="E184" s="1"/>
      <c r="F184" s="1"/>
    </row>
    <row r="185" spans="5:6" x14ac:dyDescent="0.3">
      <c r="E185" s="1"/>
      <c r="F185" s="1"/>
    </row>
    <row r="186" spans="5:6" x14ac:dyDescent="0.3">
      <c r="E186" s="1"/>
      <c r="F186" s="1"/>
    </row>
    <row r="187" spans="5:6" x14ac:dyDescent="0.3">
      <c r="E187" s="1"/>
      <c r="F187" s="1"/>
    </row>
    <row r="188" spans="5:6" x14ac:dyDescent="0.3">
      <c r="E188" s="1"/>
      <c r="F188" s="1"/>
    </row>
    <row r="189" spans="5:6" x14ac:dyDescent="0.3">
      <c r="E189" s="1"/>
      <c r="F189" s="1"/>
    </row>
    <row r="190" spans="5:6" x14ac:dyDescent="0.3">
      <c r="E190" s="1"/>
      <c r="F190" s="1"/>
    </row>
    <row r="191" spans="5:6" x14ac:dyDescent="0.3">
      <c r="E191" s="1"/>
      <c r="F191" s="1"/>
    </row>
    <row r="192" spans="5:6" x14ac:dyDescent="0.3">
      <c r="E192" s="1"/>
      <c r="F192" s="1"/>
    </row>
    <row r="193" spans="5:6" x14ac:dyDescent="0.3">
      <c r="E193" s="1"/>
      <c r="F193" s="1"/>
    </row>
    <row r="194" spans="5:6" x14ac:dyDescent="0.3">
      <c r="E194" s="1"/>
      <c r="F194" s="1"/>
    </row>
    <row r="195" spans="5:6" x14ac:dyDescent="0.3">
      <c r="E195" s="1"/>
      <c r="F195" s="1"/>
    </row>
    <row r="196" spans="5:6" x14ac:dyDescent="0.3">
      <c r="E196" s="1"/>
      <c r="F196" s="1"/>
    </row>
    <row r="197" spans="5:6" x14ac:dyDescent="0.3">
      <c r="E197" s="1"/>
      <c r="F197" s="1"/>
    </row>
    <row r="198" spans="5:6" x14ac:dyDescent="0.3">
      <c r="E198" s="1"/>
      <c r="F198" s="1"/>
    </row>
    <row r="199" spans="5:6" x14ac:dyDescent="0.3">
      <c r="E199" s="1"/>
      <c r="F199" s="1"/>
    </row>
    <row r="200" spans="5:6" x14ac:dyDescent="0.3">
      <c r="E200" s="1"/>
      <c r="F200" s="1"/>
    </row>
    <row r="201" spans="5:6" x14ac:dyDescent="0.3">
      <c r="E201" s="1"/>
      <c r="F201" s="1"/>
    </row>
    <row r="202" spans="5:6" x14ac:dyDescent="0.3">
      <c r="E202" s="1"/>
      <c r="F202" s="1"/>
    </row>
    <row r="203" spans="5:6" x14ac:dyDescent="0.3">
      <c r="E203" s="1"/>
      <c r="F203" s="1"/>
    </row>
    <row r="204" spans="5:6" x14ac:dyDescent="0.3">
      <c r="E204" s="1"/>
      <c r="F204" s="1"/>
    </row>
    <row r="205" spans="5:6" x14ac:dyDescent="0.3">
      <c r="E205" s="1"/>
      <c r="F205" s="1"/>
    </row>
    <row r="206" spans="5:6" x14ac:dyDescent="0.3">
      <c r="E206" s="1"/>
      <c r="F206" s="1"/>
    </row>
    <row r="207" spans="5:6" x14ac:dyDescent="0.3">
      <c r="E207" s="1"/>
      <c r="F207" s="1"/>
    </row>
    <row r="208" spans="5:6" x14ac:dyDescent="0.3">
      <c r="E208" s="1"/>
      <c r="F208" s="1"/>
    </row>
    <row r="209" spans="5:6" x14ac:dyDescent="0.3">
      <c r="E209" s="1"/>
      <c r="F209" s="1"/>
    </row>
    <row r="210" spans="5:6" x14ac:dyDescent="0.3">
      <c r="E210" s="1"/>
      <c r="F210" s="1"/>
    </row>
    <row r="211" spans="5:6" x14ac:dyDescent="0.3">
      <c r="E211" s="1"/>
      <c r="F211" s="1"/>
    </row>
    <row r="212" spans="5:6" x14ac:dyDescent="0.3">
      <c r="E212" s="1"/>
      <c r="F212" s="1"/>
    </row>
    <row r="213" spans="5:6" x14ac:dyDescent="0.3">
      <c r="E213" s="1"/>
      <c r="F213" s="1"/>
    </row>
    <row r="214" spans="5:6" x14ac:dyDescent="0.3">
      <c r="E214" s="1"/>
      <c r="F214" s="1"/>
    </row>
    <row r="215" spans="5:6" x14ac:dyDescent="0.3">
      <c r="E215" s="1"/>
      <c r="F215" s="1"/>
    </row>
    <row r="216" spans="5:6" x14ac:dyDescent="0.3">
      <c r="E216" s="1"/>
      <c r="F216" s="1"/>
    </row>
    <row r="217" spans="5:6" x14ac:dyDescent="0.3">
      <c r="E217" s="1"/>
      <c r="F217" s="1"/>
    </row>
    <row r="218" spans="5:6" x14ac:dyDescent="0.3">
      <c r="E218" s="1"/>
      <c r="F218" s="1"/>
    </row>
    <row r="219" spans="5:6" x14ac:dyDescent="0.3">
      <c r="E219" s="1"/>
      <c r="F219" s="1"/>
    </row>
    <row r="220" spans="5:6" x14ac:dyDescent="0.3">
      <c r="E220" s="1"/>
      <c r="F220" s="1"/>
    </row>
    <row r="221" spans="5:6" x14ac:dyDescent="0.3">
      <c r="E221" s="1"/>
      <c r="F221" s="1"/>
    </row>
    <row r="222" spans="5:6" x14ac:dyDescent="0.3">
      <c r="E222" s="1"/>
      <c r="F222" s="1"/>
    </row>
    <row r="223" spans="5:6" x14ac:dyDescent="0.3">
      <c r="E223" s="1"/>
      <c r="F223" s="1"/>
    </row>
    <row r="224" spans="5:6" x14ac:dyDescent="0.3">
      <c r="E224" s="1"/>
      <c r="F224" s="1"/>
    </row>
    <row r="225" spans="5:6" x14ac:dyDescent="0.3">
      <c r="E225" s="1"/>
      <c r="F225" s="1"/>
    </row>
    <row r="226" spans="5:6" x14ac:dyDescent="0.3">
      <c r="E226" s="1"/>
      <c r="F226" s="1"/>
    </row>
    <row r="227" spans="5:6" x14ac:dyDescent="0.3">
      <c r="E227" s="1"/>
      <c r="F227" s="1"/>
    </row>
    <row r="228" spans="5:6" x14ac:dyDescent="0.3">
      <c r="E228" s="1"/>
      <c r="F228" s="1"/>
    </row>
    <row r="229" spans="5:6" x14ac:dyDescent="0.3">
      <c r="E229" s="1"/>
      <c r="F229" s="1"/>
    </row>
    <row r="230" spans="5:6" x14ac:dyDescent="0.3">
      <c r="E230" s="1"/>
      <c r="F230" s="1"/>
    </row>
    <row r="231" spans="5:6" x14ac:dyDescent="0.3">
      <c r="E231" s="1"/>
      <c r="F231" s="1"/>
    </row>
    <row r="232" spans="5:6" x14ac:dyDescent="0.3">
      <c r="E232" s="1"/>
      <c r="F232" s="1"/>
    </row>
    <row r="233" spans="5:6" x14ac:dyDescent="0.3">
      <c r="E233" s="1"/>
      <c r="F233" s="1"/>
    </row>
    <row r="234" spans="5:6" x14ac:dyDescent="0.3">
      <c r="E234" s="1"/>
      <c r="F234" s="1"/>
    </row>
    <row r="235" spans="5:6" x14ac:dyDescent="0.3">
      <c r="E235" s="1"/>
      <c r="F235" s="1"/>
    </row>
    <row r="236" spans="5:6" x14ac:dyDescent="0.3">
      <c r="E236" s="1"/>
      <c r="F236" s="1"/>
    </row>
    <row r="237" spans="5:6" x14ac:dyDescent="0.3">
      <c r="E237" s="1"/>
      <c r="F237" s="1"/>
    </row>
    <row r="238" spans="5:6" x14ac:dyDescent="0.3">
      <c r="E238" s="1"/>
      <c r="F238" s="1"/>
    </row>
    <row r="239" spans="5:6" x14ac:dyDescent="0.3">
      <c r="E239" s="1"/>
      <c r="F239" s="1"/>
    </row>
    <row r="240" spans="5:6" x14ac:dyDescent="0.3">
      <c r="E240" s="1"/>
      <c r="F240" s="1"/>
    </row>
    <row r="241" spans="5:6" x14ac:dyDescent="0.3">
      <c r="E241" s="1"/>
      <c r="F241" s="1"/>
    </row>
    <row r="242" spans="5:6" x14ac:dyDescent="0.3">
      <c r="E242" s="1"/>
      <c r="F242" s="1"/>
    </row>
    <row r="243" spans="5:6" x14ac:dyDescent="0.3">
      <c r="E243" s="1"/>
      <c r="F243" s="1"/>
    </row>
    <row r="244" spans="5:6" x14ac:dyDescent="0.3">
      <c r="E244" s="1"/>
      <c r="F244" s="1"/>
    </row>
    <row r="245" spans="5:6" x14ac:dyDescent="0.3">
      <c r="E245" s="1"/>
      <c r="F245" s="1"/>
    </row>
    <row r="246" spans="5:6" x14ac:dyDescent="0.3">
      <c r="E246" s="1"/>
      <c r="F246" s="1"/>
    </row>
    <row r="247" spans="5:6" x14ac:dyDescent="0.3">
      <c r="E247" s="1"/>
      <c r="F247" s="1"/>
    </row>
    <row r="248" spans="5:6" x14ac:dyDescent="0.3">
      <c r="E248" s="1"/>
      <c r="F248" s="1"/>
    </row>
    <row r="249" spans="5:6" x14ac:dyDescent="0.3">
      <c r="E249" s="1"/>
      <c r="F249" s="1"/>
    </row>
    <row r="250" spans="5:6" x14ac:dyDescent="0.3">
      <c r="E250" s="1"/>
      <c r="F250" s="1"/>
    </row>
  </sheetData>
  <mergeCells count="1">
    <mergeCell ref="A1:F1"/>
  </mergeCells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03-DF70-482F-A8AC-5105DE5515C7}">
  <dimension ref="A1:K377"/>
  <sheetViews>
    <sheetView workbookViewId="0">
      <selection activeCell="I51" sqref="I51"/>
    </sheetView>
  </sheetViews>
  <sheetFormatPr defaultRowHeight="14.4" x14ac:dyDescent="0.3"/>
  <cols>
    <col min="1" max="1" width="10.5546875" customWidth="1"/>
    <col min="2" max="2" width="33.77734375" customWidth="1"/>
    <col min="3" max="3" width="4.109375" customWidth="1"/>
    <col min="4" max="4" width="18.33203125" customWidth="1"/>
    <col min="5" max="5" width="10.5546875" customWidth="1"/>
    <col min="6" max="6" width="33.77734375" customWidth="1"/>
    <col min="7" max="7" width="4.109375" customWidth="1"/>
    <col min="8" max="8" width="18.33203125" customWidth="1"/>
  </cols>
  <sheetData>
    <row r="1" spans="1:11" ht="60" customHeight="1" x14ac:dyDescent="0.35">
      <c r="A1" s="51" t="s">
        <v>161</v>
      </c>
      <c r="B1" s="51"/>
      <c r="C1" s="51"/>
      <c r="D1" s="51"/>
      <c r="E1" s="51"/>
      <c r="F1" s="51"/>
      <c r="G1" s="51"/>
      <c r="H1" s="51"/>
    </row>
    <row r="3" spans="1:11" ht="20.399999999999999" x14ac:dyDescent="0.35">
      <c r="A3" s="6" t="s">
        <v>101</v>
      </c>
      <c r="B3" s="6"/>
      <c r="C3" s="52" t="s">
        <v>102</v>
      </c>
      <c r="D3" s="52"/>
      <c r="E3" s="52"/>
      <c r="F3" s="52"/>
      <c r="G3" s="6"/>
      <c r="H3" s="7" t="s">
        <v>100</v>
      </c>
    </row>
    <row r="4" spans="1:11" ht="17.399999999999999" x14ac:dyDescent="0.3">
      <c r="A4" s="2" t="s">
        <v>0</v>
      </c>
      <c r="B4" s="2" t="s">
        <v>1</v>
      </c>
      <c r="C4" s="2" t="s">
        <v>98</v>
      </c>
      <c r="D4" s="2" t="s">
        <v>99</v>
      </c>
      <c r="E4" s="2" t="s">
        <v>0</v>
      </c>
      <c r="F4" s="2" t="s">
        <v>1</v>
      </c>
      <c r="G4" s="2" t="s">
        <v>98</v>
      </c>
      <c r="H4" s="2" t="s">
        <v>99</v>
      </c>
    </row>
    <row r="5" spans="1:11" x14ac:dyDescent="0.3">
      <c r="A5" s="3">
        <v>45930</v>
      </c>
      <c r="B5" s="4" t="s">
        <v>104</v>
      </c>
      <c r="C5" s="4"/>
      <c r="D5" s="5">
        <v>100000</v>
      </c>
      <c r="E5" s="3">
        <v>45901</v>
      </c>
      <c r="F5" s="4" t="s">
        <v>103</v>
      </c>
      <c r="G5" s="4"/>
      <c r="H5" s="5">
        <v>100000</v>
      </c>
    </row>
    <row r="6" spans="1:11" x14ac:dyDescent="0.3">
      <c r="A6" s="4"/>
      <c r="B6" s="4"/>
      <c r="C6" s="4"/>
      <c r="D6" s="5"/>
      <c r="E6" s="4"/>
      <c r="F6" s="4"/>
      <c r="G6" s="4"/>
      <c r="H6" s="5"/>
    </row>
    <row r="7" spans="1:11" x14ac:dyDescent="0.3">
      <c r="A7" s="4"/>
      <c r="B7" s="4"/>
      <c r="C7" s="4"/>
      <c r="D7" s="8">
        <v>100000</v>
      </c>
      <c r="E7" s="4"/>
      <c r="F7" s="4"/>
      <c r="G7" s="4"/>
      <c r="H7" s="8">
        <v>100000</v>
      </c>
    </row>
    <row r="8" spans="1:11" x14ac:dyDescent="0.3">
      <c r="A8" s="4"/>
      <c r="B8" s="4"/>
      <c r="C8" s="4"/>
      <c r="D8" s="5"/>
      <c r="E8" s="3">
        <v>45931</v>
      </c>
      <c r="F8" s="4" t="s">
        <v>105</v>
      </c>
      <c r="G8" s="4"/>
      <c r="H8" s="8">
        <v>100000</v>
      </c>
    </row>
    <row r="9" spans="1:11" x14ac:dyDescent="0.3">
      <c r="D9" s="1"/>
      <c r="H9" s="1"/>
    </row>
    <row r="10" spans="1:11" x14ac:dyDescent="0.3">
      <c r="D10" s="1"/>
      <c r="H10" s="1"/>
    </row>
    <row r="11" spans="1:11" ht="20.399999999999999" x14ac:dyDescent="0.35">
      <c r="A11" s="6" t="s">
        <v>101</v>
      </c>
      <c r="B11" s="6"/>
      <c r="C11" s="52" t="s">
        <v>106</v>
      </c>
      <c r="D11" s="52"/>
      <c r="E11" s="52"/>
      <c r="F11" s="52"/>
      <c r="G11" s="6"/>
      <c r="H11" s="7" t="s">
        <v>100</v>
      </c>
    </row>
    <row r="12" spans="1:11" ht="17.399999999999999" x14ac:dyDescent="0.3">
      <c r="A12" s="2" t="s">
        <v>0</v>
      </c>
      <c r="B12" s="2" t="s">
        <v>1</v>
      </c>
      <c r="C12" s="2" t="s">
        <v>98</v>
      </c>
      <c r="D12" s="2" t="s">
        <v>99</v>
      </c>
      <c r="E12" s="2" t="s">
        <v>0</v>
      </c>
      <c r="F12" s="2" t="s">
        <v>1</v>
      </c>
      <c r="G12" s="2" t="s">
        <v>98</v>
      </c>
      <c r="H12" s="2" t="s">
        <v>99</v>
      </c>
    </row>
    <row r="13" spans="1:11" x14ac:dyDescent="0.3">
      <c r="A13" s="3">
        <v>45901</v>
      </c>
      <c r="B13" s="4" t="s">
        <v>117</v>
      </c>
      <c r="C13" s="4"/>
      <c r="D13" s="10">
        <v>100000</v>
      </c>
      <c r="E13" s="3">
        <v>45902</v>
      </c>
      <c r="F13" s="4" t="s">
        <v>107</v>
      </c>
      <c r="G13" s="4"/>
      <c r="H13" s="10">
        <v>45000</v>
      </c>
    </row>
    <row r="14" spans="1:11" x14ac:dyDescent="0.3">
      <c r="A14" s="3">
        <v>45908</v>
      </c>
      <c r="B14" s="4" t="s">
        <v>110</v>
      </c>
      <c r="C14" s="4"/>
      <c r="D14" s="10">
        <v>14000</v>
      </c>
      <c r="E14" s="3">
        <v>45904</v>
      </c>
      <c r="F14" s="4" t="s">
        <v>108</v>
      </c>
      <c r="G14" s="4"/>
      <c r="H14" s="10">
        <v>8000</v>
      </c>
    </row>
    <row r="15" spans="1:11" x14ac:dyDescent="0.3">
      <c r="A15" s="3">
        <v>45920</v>
      </c>
      <c r="B15" s="4" t="s">
        <v>110</v>
      </c>
      <c r="C15" s="4"/>
      <c r="D15" s="19">
        <v>16500</v>
      </c>
      <c r="E15" s="3">
        <v>45907</v>
      </c>
      <c r="F15" s="4" t="s">
        <v>109</v>
      </c>
      <c r="G15" s="4"/>
      <c r="H15" s="10">
        <v>1200</v>
      </c>
    </row>
    <row r="16" spans="1:11" x14ac:dyDescent="0.3">
      <c r="A16" s="3">
        <v>45924</v>
      </c>
      <c r="B16" s="4" t="s">
        <v>175</v>
      </c>
      <c r="C16" s="4"/>
      <c r="D16" s="10">
        <v>1800</v>
      </c>
      <c r="E16" s="3">
        <v>45911</v>
      </c>
      <c r="F16" s="4" t="s">
        <v>111</v>
      </c>
      <c r="G16" s="4"/>
      <c r="H16" s="10">
        <v>1500</v>
      </c>
      <c r="K16" s="18"/>
    </row>
    <row r="17" spans="1:8" x14ac:dyDescent="0.3">
      <c r="A17" s="4"/>
      <c r="B17" s="4"/>
      <c r="C17" s="4"/>
      <c r="D17" s="10"/>
      <c r="E17" s="3">
        <v>45914</v>
      </c>
      <c r="F17" s="4" t="s">
        <v>112</v>
      </c>
      <c r="G17" s="4"/>
      <c r="H17" s="10">
        <v>900</v>
      </c>
    </row>
    <row r="18" spans="1:8" x14ac:dyDescent="0.3">
      <c r="A18" s="4"/>
      <c r="B18" s="4"/>
      <c r="C18" s="4"/>
      <c r="D18" s="10"/>
      <c r="E18" s="3">
        <v>45917</v>
      </c>
      <c r="F18" s="4" t="s">
        <v>113</v>
      </c>
      <c r="G18" s="4"/>
      <c r="H18" s="10">
        <v>11000</v>
      </c>
    </row>
    <row r="19" spans="1:8" x14ac:dyDescent="0.3">
      <c r="A19" s="4"/>
      <c r="B19" s="4"/>
      <c r="C19" s="4"/>
      <c r="D19" s="10"/>
      <c r="E19" s="3">
        <v>45919</v>
      </c>
      <c r="F19" s="4" t="s">
        <v>115</v>
      </c>
      <c r="G19" s="4"/>
      <c r="H19" s="10">
        <v>4800</v>
      </c>
    </row>
    <row r="20" spans="1:8" x14ac:dyDescent="0.3">
      <c r="A20" s="4"/>
      <c r="B20" s="4"/>
      <c r="C20" s="4"/>
      <c r="D20" s="10"/>
      <c r="E20" s="3">
        <v>45921</v>
      </c>
      <c r="F20" s="4" t="s">
        <v>116</v>
      </c>
      <c r="G20" s="4"/>
      <c r="H20" s="10">
        <v>3000</v>
      </c>
    </row>
    <row r="21" spans="1:8" x14ac:dyDescent="0.3">
      <c r="A21" s="4"/>
      <c r="B21" s="4"/>
      <c r="C21" s="4"/>
      <c r="D21" s="10"/>
      <c r="E21" s="3">
        <v>45927</v>
      </c>
      <c r="F21" s="4" t="s">
        <v>173</v>
      </c>
      <c r="G21" s="4"/>
      <c r="H21" s="10">
        <v>1100</v>
      </c>
    </row>
    <row r="22" spans="1:8" x14ac:dyDescent="0.3">
      <c r="A22" s="4"/>
      <c r="B22" s="4"/>
      <c r="C22" s="4"/>
      <c r="D22" s="10"/>
      <c r="E22" s="3">
        <v>45928</v>
      </c>
      <c r="F22" s="4" t="s">
        <v>119</v>
      </c>
      <c r="G22" s="4"/>
      <c r="H22" s="10">
        <v>1600</v>
      </c>
    </row>
    <row r="23" spans="1:8" x14ac:dyDescent="0.3">
      <c r="A23" s="4"/>
      <c r="B23" s="4"/>
      <c r="C23" s="4"/>
      <c r="D23" s="10"/>
      <c r="E23" s="3">
        <v>45930</v>
      </c>
      <c r="F23" s="4" t="s">
        <v>120</v>
      </c>
      <c r="G23" s="4"/>
      <c r="H23" s="10">
        <v>1300</v>
      </c>
    </row>
    <row r="24" spans="1:8" x14ac:dyDescent="0.3">
      <c r="A24" s="4"/>
      <c r="B24" s="4"/>
      <c r="C24" s="4"/>
      <c r="D24" s="10"/>
      <c r="E24" s="3">
        <v>46295</v>
      </c>
      <c r="F24" s="4" t="s">
        <v>105</v>
      </c>
      <c r="G24" s="4"/>
      <c r="H24" s="10">
        <v>52900</v>
      </c>
    </row>
    <row r="25" spans="1:8" x14ac:dyDescent="0.3">
      <c r="A25" s="4"/>
      <c r="B25" s="4"/>
      <c r="C25" s="4"/>
      <c r="D25" s="4"/>
      <c r="E25" s="4"/>
      <c r="F25" s="4"/>
      <c r="G25" s="4"/>
      <c r="H25" s="4"/>
    </row>
    <row r="26" spans="1:8" x14ac:dyDescent="0.3">
      <c r="A26" s="4"/>
      <c r="B26" s="4"/>
      <c r="C26" s="4"/>
      <c r="D26" s="8">
        <f>SUM(D13:D16)</f>
        <v>132300</v>
      </c>
      <c r="E26" s="9"/>
      <c r="F26" s="9"/>
      <c r="G26" s="9"/>
      <c r="H26" s="11">
        <f>SUM(H13:H24)</f>
        <v>132300</v>
      </c>
    </row>
    <row r="27" spans="1:8" x14ac:dyDescent="0.3">
      <c r="A27" s="3">
        <v>45931</v>
      </c>
      <c r="B27" s="4" t="s">
        <v>104</v>
      </c>
      <c r="C27" s="4"/>
      <c r="D27" s="8">
        <v>52900</v>
      </c>
      <c r="E27" s="9"/>
      <c r="F27" s="9"/>
      <c r="G27" s="9"/>
      <c r="H27" s="9"/>
    </row>
    <row r="28" spans="1:8" x14ac:dyDescent="0.3">
      <c r="D28" s="1"/>
      <c r="H28" s="1"/>
    </row>
    <row r="29" spans="1:8" x14ac:dyDescent="0.3">
      <c r="D29" s="1"/>
      <c r="H29" s="1"/>
    </row>
    <row r="30" spans="1:8" ht="20.399999999999999" x14ac:dyDescent="0.35">
      <c r="A30" s="6" t="s">
        <v>101</v>
      </c>
      <c r="B30" s="6"/>
      <c r="C30" s="52" t="s">
        <v>121</v>
      </c>
      <c r="D30" s="52"/>
      <c r="E30" s="52"/>
      <c r="F30" s="52"/>
      <c r="G30" s="6"/>
      <c r="H30" s="7" t="s">
        <v>100</v>
      </c>
    </row>
    <row r="31" spans="1:8" ht="17.399999999999999" x14ac:dyDescent="0.3">
      <c r="A31" s="2" t="s">
        <v>0</v>
      </c>
      <c r="B31" s="2" t="s">
        <v>1</v>
      </c>
      <c r="C31" s="2" t="s">
        <v>98</v>
      </c>
      <c r="D31" s="2" t="s">
        <v>99</v>
      </c>
      <c r="E31" s="2" t="s">
        <v>0</v>
      </c>
      <c r="F31" s="2" t="s">
        <v>1</v>
      </c>
      <c r="G31" s="2" t="s">
        <v>98</v>
      </c>
      <c r="H31" s="2" t="s">
        <v>99</v>
      </c>
    </row>
    <row r="32" spans="1:8" x14ac:dyDescent="0.3">
      <c r="A32" s="3">
        <v>45902</v>
      </c>
      <c r="B32" s="4" t="s">
        <v>122</v>
      </c>
      <c r="C32" s="4"/>
      <c r="D32" s="10">
        <v>45000</v>
      </c>
      <c r="E32" s="3">
        <v>45916</v>
      </c>
      <c r="F32" s="4" t="s">
        <v>124</v>
      </c>
      <c r="G32" s="4"/>
      <c r="H32" s="10">
        <v>10000</v>
      </c>
    </row>
    <row r="33" spans="1:9" x14ac:dyDescent="0.3">
      <c r="A33" s="3">
        <v>45915</v>
      </c>
      <c r="B33" s="4" t="s">
        <v>123</v>
      </c>
      <c r="C33" s="4"/>
      <c r="D33" s="10">
        <v>15000</v>
      </c>
      <c r="E33" s="3">
        <v>46283</v>
      </c>
      <c r="F33" s="4" t="s">
        <v>114</v>
      </c>
      <c r="G33" s="4"/>
      <c r="H33" s="10">
        <v>3500</v>
      </c>
    </row>
    <row r="34" spans="1:9" x14ac:dyDescent="0.3">
      <c r="A34" s="3">
        <v>45928</v>
      </c>
      <c r="B34" s="4" t="s">
        <v>123</v>
      </c>
      <c r="C34" s="4"/>
      <c r="D34" s="10">
        <v>12000</v>
      </c>
      <c r="E34" s="3">
        <v>45925</v>
      </c>
      <c r="F34" s="4" t="s">
        <v>125</v>
      </c>
      <c r="G34" s="4"/>
      <c r="H34" s="10">
        <v>10000</v>
      </c>
    </row>
    <row r="35" spans="1:9" x14ac:dyDescent="0.3">
      <c r="A35" s="4"/>
      <c r="B35" s="4"/>
      <c r="C35" s="4"/>
      <c r="D35" s="4"/>
      <c r="E35" s="3">
        <v>46291</v>
      </c>
      <c r="F35" s="4" t="s">
        <v>128</v>
      </c>
      <c r="G35" s="4"/>
      <c r="H35" s="19">
        <v>4000</v>
      </c>
    </row>
    <row r="36" spans="1:9" x14ac:dyDescent="0.3">
      <c r="A36" s="4"/>
      <c r="B36" s="4"/>
      <c r="C36" s="4"/>
      <c r="D36" s="4"/>
      <c r="E36" s="3">
        <v>45929</v>
      </c>
      <c r="F36" s="4" t="s">
        <v>126</v>
      </c>
      <c r="G36" s="4"/>
      <c r="H36" s="10">
        <v>400</v>
      </c>
    </row>
    <row r="37" spans="1:9" x14ac:dyDescent="0.3">
      <c r="A37" s="4"/>
      <c r="B37" s="4"/>
      <c r="C37" s="4"/>
      <c r="D37" s="10"/>
      <c r="E37" s="3">
        <v>45930</v>
      </c>
      <c r="F37" s="4" t="s">
        <v>127</v>
      </c>
      <c r="G37" s="4"/>
      <c r="H37" s="10">
        <v>10000</v>
      </c>
    </row>
    <row r="38" spans="1:9" x14ac:dyDescent="0.3">
      <c r="A38" s="4"/>
      <c r="B38" s="4"/>
      <c r="C38" s="4"/>
      <c r="D38" s="5"/>
      <c r="E38" s="3">
        <v>45930</v>
      </c>
      <c r="F38" s="4" t="s">
        <v>105</v>
      </c>
      <c r="G38" s="4"/>
      <c r="H38" s="12">
        <v>34100</v>
      </c>
    </row>
    <row r="39" spans="1:9" x14ac:dyDescent="0.3">
      <c r="A39" s="4"/>
      <c r="B39" s="4"/>
      <c r="C39" s="4"/>
      <c r="D39" s="5"/>
      <c r="E39" s="4"/>
      <c r="F39" s="4"/>
      <c r="G39" s="4"/>
      <c r="H39" s="4"/>
      <c r="I39" s="1"/>
    </row>
    <row r="40" spans="1:9" x14ac:dyDescent="0.3">
      <c r="A40" s="4"/>
      <c r="B40" s="4"/>
      <c r="C40" s="4"/>
      <c r="D40" s="8">
        <f>SUM(D32:D34)</f>
        <v>72000</v>
      </c>
      <c r="E40" s="9"/>
      <c r="F40" s="9"/>
      <c r="G40" s="9"/>
      <c r="H40" s="8">
        <f>SUM(H32:H38)</f>
        <v>72000</v>
      </c>
    </row>
    <row r="41" spans="1:9" x14ac:dyDescent="0.3">
      <c r="A41" s="3">
        <v>45931</v>
      </c>
      <c r="B41" s="4" t="s">
        <v>104</v>
      </c>
      <c r="C41" s="4"/>
      <c r="D41" s="8">
        <v>34100</v>
      </c>
      <c r="E41" s="9"/>
      <c r="F41" s="9"/>
      <c r="G41" s="9"/>
      <c r="H41" s="8"/>
    </row>
    <row r="42" spans="1:9" x14ac:dyDescent="0.3">
      <c r="D42" s="1"/>
      <c r="H42" s="1"/>
    </row>
    <row r="43" spans="1:9" x14ac:dyDescent="0.3">
      <c r="D43" s="1"/>
      <c r="H43" s="1"/>
    </row>
    <row r="44" spans="1:9" ht="20.399999999999999" x14ac:dyDescent="0.35">
      <c r="A44" s="6" t="s">
        <v>101</v>
      </c>
      <c r="B44" s="6"/>
      <c r="C44" s="52" t="s">
        <v>129</v>
      </c>
      <c r="D44" s="52"/>
      <c r="E44" s="52"/>
      <c r="F44" s="52"/>
      <c r="G44" s="6"/>
      <c r="H44" s="7" t="s">
        <v>100</v>
      </c>
    </row>
    <row r="45" spans="1:9" ht="17.399999999999999" x14ac:dyDescent="0.3">
      <c r="A45" s="2" t="s">
        <v>0</v>
      </c>
      <c r="B45" s="2" t="s">
        <v>1</v>
      </c>
      <c r="C45" s="2" t="s">
        <v>98</v>
      </c>
      <c r="D45" s="2" t="s">
        <v>99</v>
      </c>
      <c r="E45" s="2" t="s">
        <v>0</v>
      </c>
      <c r="F45" s="2" t="s">
        <v>1</v>
      </c>
      <c r="G45" s="2" t="s">
        <v>98</v>
      </c>
      <c r="H45" s="2" t="s">
        <v>99</v>
      </c>
    </row>
    <row r="46" spans="1:9" x14ac:dyDescent="0.3">
      <c r="A46" s="3">
        <v>46268</v>
      </c>
      <c r="B46" s="4" t="s">
        <v>130</v>
      </c>
      <c r="C46" s="4"/>
      <c r="D46" s="10">
        <v>25000</v>
      </c>
      <c r="E46" s="3">
        <v>46295</v>
      </c>
      <c r="F46" s="4" t="s">
        <v>105</v>
      </c>
      <c r="G46" s="4"/>
      <c r="H46" s="10">
        <v>25000</v>
      </c>
    </row>
    <row r="47" spans="1:9" x14ac:dyDescent="0.3">
      <c r="A47" s="3"/>
      <c r="B47" s="4"/>
      <c r="C47" s="4"/>
      <c r="D47" s="10"/>
      <c r="E47" s="3"/>
      <c r="F47" s="4"/>
      <c r="G47" s="4"/>
      <c r="H47" s="4"/>
    </row>
    <row r="48" spans="1:9" x14ac:dyDescent="0.3">
      <c r="A48" s="4"/>
      <c r="B48" s="4"/>
      <c r="C48" s="4"/>
      <c r="D48" s="8">
        <v>25000</v>
      </c>
      <c r="E48" s="13"/>
      <c r="F48" s="9"/>
      <c r="G48" s="9"/>
      <c r="H48" s="8">
        <v>25000</v>
      </c>
    </row>
    <row r="49" spans="1:8" x14ac:dyDescent="0.3">
      <c r="A49" s="3">
        <v>46296</v>
      </c>
      <c r="B49" s="4" t="s">
        <v>104</v>
      </c>
      <c r="C49" s="4"/>
      <c r="D49" s="8">
        <v>25000</v>
      </c>
      <c r="E49" s="13"/>
      <c r="F49" s="9"/>
      <c r="G49" s="9"/>
      <c r="H49" s="8"/>
    </row>
    <row r="52" spans="1:8" ht="20.399999999999999" x14ac:dyDescent="0.35">
      <c r="A52" s="6" t="s">
        <v>101</v>
      </c>
      <c r="B52" s="6"/>
      <c r="C52" s="52" t="s">
        <v>132</v>
      </c>
      <c r="D52" s="52"/>
      <c r="E52" s="52"/>
      <c r="F52" s="52"/>
      <c r="G52" s="6"/>
      <c r="H52" s="7" t="s">
        <v>100</v>
      </c>
    </row>
    <row r="53" spans="1:8" ht="17.399999999999999" x14ac:dyDescent="0.3">
      <c r="A53" s="2" t="s">
        <v>0</v>
      </c>
      <c r="B53" s="2" t="s">
        <v>1</v>
      </c>
      <c r="C53" s="2" t="s">
        <v>98</v>
      </c>
      <c r="D53" s="2" t="s">
        <v>99</v>
      </c>
      <c r="E53" s="2" t="s">
        <v>0</v>
      </c>
      <c r="F53" s="2" t="s">
        <v>1</v>
      </c>
      <c r="G53" s="2" t="s">
        <v>98</v>
      </c>
      <c r="H53" s="2" t="s">
        <v>99</v>
      </c>
    </row>
    <row r="54" spans="1:8" x14ac:dyDescent="0.3">
      <c r="A54" s="3">
        <v>45925</v>
      </c>
      <c r="B54" s="4" t="s">
        <v>131</v>
      </c>
      <c r="C54" s="4"/>
      <c r="D54" s="4">
        <v>10000</v>
      </c>
      <c r="E54" s="3">
        <v>46268</v>
      </c>
      <c r="F54" s="4" t="s">
        <v>125</v>
      </c>
      <c r="G54" s="4"/>
      <c r="H54" s="10">
        <v>25000</v>
      </c>
    </row>
    <row r="55" spans="1:8" x14ac:dyDescent="0.3">
      <c r="A55" s="3">
        <v>46295</v>
      </c>
      <c r="B55" s="4" t="s">
        <v>133</v>
      </c>
      <c r="C55" s="4"/>
      <c r="D55" s="10">
        <v>15000</v>
      </c>
      <c r="E55" s="3"/>
      <c r="F55" s="4"/>
      <c r="G55" s="4"/>
      <c r="H55" s="10"/>
    </row>
    <row r="56" spans="1:8" x14ac:dyDescent="0.3">
      <c r="A56" s="3"/>
      <c r="B56" s="4"/>
      <c r="C56" s="4"/>
      <c r="D56" s="8">
        <v>25000</v>
      </c>
      <c r="E56" s="3"/>
      <c r="F56" s="4"/>
      <c r="G56" s="4"/>
      <c r="H56" s="17">
        <v>25000</v>
      </c>
    </row>
    <row r="57" spans="1:8" x14ac:dyDescent="0.3">
      <c r="A57" s="4"/>
      <c r="B57" s="4"/>
      <c r="C57" s="4"/>
      <c r="D57" s="10"/>
      <c r="E57" s="3">
        <v>46296</v>
      </c>
      <c r="F57" s="4" t="s">
        <v>134</v>
      </c>
      <c r="G57" s="4"/>
      <c r="H57" s="8">
        <v>15000</v>
      </c>
    </row>
    <row r="59" spans="1:8" x14ac:dyDescent="0.3">
      <c r="D59" s="1"/>
      <c r="H59" s="1"/>
    </row>
    <row r="60" spans="1:8" ht="20.399999999999999" x14ac:dyDescent="0.35">
      <c r="A60" s="6" t="s">
        <v>101</v>
      </c>
      <c r="B60" s="6"/>
      <c r="C60" s="52" t="s">
        <v>135</v>
      </c>
      <c r="D60" s="52"/>
      <c r="E60" s="52"/>
      <c r="F60" s="52"/>
      <c r="G60" s="6"/>
      <c r="H60" s="7" t="s">
        <v>100</v>
      </c>
    </row>
    <row r="61" spans="1:8" ht="17.399999999999999" x14ac:dyDescent="0.3">
      <c r="A61" s="2" t="s">
        <v>0</v>
      </c>
      <c r="B61" s="2" t="s">
        <v>1</v>
      </c>
      <c r="C61" s="2" t="s">
        <v>98</v>
      </c>
      <c r="D61" s="2" t="s">
        <v>99</v>
      </c>
      <c r="E61" s="2" t="s">
        <v>0</v>
      </c>
      <c r="F61" s="2" t="s">
        <v>1</v>
      </c>
      <c r="G61" s="2" t="s">
        <v>98</v>
      </c>
      <c r="H61" s="2" t="s">
        <v>99</v>
      </c>
    </row>
    <row r="62" spans="1:8" x14ac:dyDescent="0.3">
      <c r="A62" s="3">
        <v>46269</v>
      </c>
      <c r="B62" s="4" t="s">
        <v>122</v>
      </c>
      <c r="C62" s="4"/>
      <c r="D62" s="5">
        <v>8000</v>
      </c>
      <c r="E62" s="3">
        <v>46295</v>
      </c>
      <c r="F62" s="4" t="s">
        <v>105</v>
      </c>
      <c r="G62" s="4"/>
      <c r="H62" s="5">
        <v>8000</v>
      </c>
    </row>
    <row r="63" spans="1:8" x14ac:dyDescent="0.3">
      <c r="A63" s="4"/>
      <c r="B63" s="4"/>
      <c r="C63" s="4"/>
      <c r="D63" s="5"/>
      <c r="E63" s="4"/>
      <c r="F63" s="4"/>
      <c r="G63" s="4"/>
      <c r="H63" s="5"/>
    </row>
    <row r="64" spans="1:8" x14ac:dyDescent="0.3">
      <c r="A64" s="4"/>
      <c r="B64" s="4"/>
      <c r="C64" s="4"/>
      <c r="D64" s="8">
        <v>8000</v>
      </c>
      <c r="E64" s="9"/>
      <c r="F64" s="9"/>
      <c r="G64" s="9"/>
      <c r="H64" s="8">
        <v>8000</v>
      </c>
    </row>
    <row r="65" spans="1:8" x14ac:dyDescent="0.3">
      <c r="A65" s="3">
        <v>46296</v>
      </c>
      <c r="B65" s="4" t="s">
        <v>104</v>
      </c>
      <c r="C65" s="4"/>
      <c r="D65" s="8">
        <v>8000</v>
      </c>
      <c r="E65" s="9"/>
      <c r="F65" s="9"/>
      <c r="G65" s="9"/>
      <c r="H65" s="8"/>
    </row>
    <row r="66" spans="1:8" x14ac:dyDescent="0.3">
      <c r="D66" s="1"/>
      <c r="H66" s="1"/>
    </row>
    <row r="67" spans="1:8" x14ac:dyDescent="0.3">
      <c r="D67" s="1"/>
      <c r="H67" s="1"/>
    </row>
    <row r="68" spans="1:8" ht="20.399999999999999" x14ac:dyDescent="0.35">
      <c r="A68" s="6" t="s">
        <v>101</v>
      </c>
      <c r="B68" s="6"/>
      <c r="C68" s="52" t="s">
        <v>136</v>
      </c>
      <c r="D68" s="52"/>
      <c r="E68" s="52"/>
      <c r="F68" s="52"/>
      <c r="G68" s="6"/>
      <c r="H68" s="7" t="s">
        <v>100</v>
      </c>
    </row>
    <row r="69" spans="1:8" ht="17.399999999999999" x14ac:dyDescent="0.3">
      <c r="A69" s="2" t="s">
        <v>0</v>
      </c>
      <c r="B69" s="2" t="s">
        <v>1</v>
      </c>
      <c r="C69" s="2" t="s">
        <v>98</v>
      </c>
      <c r="D69" s="2" t="s">
        <v>99</v>
      </c>
      <c r="E69" s="2" t="s">
        <v>0</v>
      </c>
      <c r="F69" s="2" t="s">
        <v>1</v>
      </c>
      <c r="G69" s="2" t="s">
        <v>98</v>
      </c>
      <c r="H69" s="2" t="s">
        <v>99</v>
      </c>
    </row>
    <row r="70" spans="1:8" x14ac:dyDescent="0.3">
      <c r="A70" s="3">
        <v>46270</v>
      </c>
      <c r="B70" s="4" t="s">
        <v>137</v>
      </c>
      <c r="C70" s="4"/>
      <c r="D70" s="10">
        <v>18000</v>
      </c>
      <c r="E70" s="3">
        <v>46295</v>
      </c>
      <c r="F70" s="4" t="s">
        <v>105</v>
      </c>
      <c r="G70" s="4"/>
      <c r="H70" s="10">
        <v>41000</v>
      </c>
    </row>
    <row r="71" spans="1:8" x14ac:dyDescent="0.3">
      <c r="A71" s="3">
        <v>46282</v>
      </c>
      <c r="B71" s="4" t="s">
        <v>122</v>
      </c>
      <c r="C71" s="4"/>
      <c r="D71" s="10">
        <v>11000</v>
      </c>
      <c r="E71" s="4"/>
      <c r="F71" s="4"/>
      <c r="G71" s="4"/>
      <c r="H71" s="10"/>
    </row>
    <row r="72" spans="1:8" x14ac:dyDescent="0.3">
      <c r="A72" s="3">
        <v>46287</v>
      </c>
      <c r="B72" s="4" t="s">
        <v>137</v>
      </c>
      <c r="C72" s="4"/>
      <c r="D72" s="10">
        <v>12000</v>
      </c>
      <c r="E72" s="4"/>
      <c r="F72" s="4"/>
      <c r="G72" s="4"/>
      <c r="H72" s="10"/>
    </row>
    <row r="73" spans="1:8" x14ac:dyDescent="0.3">
      <c r="A73" s="3"/>
      <c r="B73" s="4"/>
      <c r="C73" s="4"/>
      <c r="D73" s="10"/>
      <c r="E73" s="4"/>
      <c r="F73" s="4"/>
      <c r="G73" s="4"/>
      <c r="H73" s="10"/>
    </row>
    <row r="74" spans="1:8" x14ac:dyDescent="0.3">
      <c r="A74" s="4"/>
      <c r="B74" s="4"/>
      <c r="C74" s="4"/>
      <c r="D74" s="8">
        <v>41000</v>
      </c>
      <c r="E74" s="9"/>
      <c r="F74" s="9"/>
      <c r="G74" s="9"/>
      <c r="H74" s="8">
        <v>41000</v>
      </c>
    </row>
    <row r="75" spans="1:8" x14ac:dyDescent="0.3">
      <c r="A75" s="3">
        <v>46296</v>
      </c>
      <c r="B75" s="4" t="s">
        <v>104</v>
      </c>
      <c r="C75" s="4"/>
      <c r="D75" s="8">
        <v>41000</v>
      </c>
      <c r="E75" s="9"/>
      <c r="F75" s="9"/>
      <c r="G75" s="9"/>
      <c r="H75" s="8"/>
    </row>
    <row r="76" spans="1:8" x14ac:dyDescent="0.3">
      <c r="D76" s="1"/>
      <c r="H76" s="1"/>
    </row>
    <row r="77" spans="1:8" x14ac:dyDescent="0.3">
      <c r="D77" s="1"/>
      <c r="H77" s="1"/>
    </row>
    <row r="78" spans="1:8" ht="20.399999999999999" x14ac:dyDescent="0.35">
      <c r="A78" s="6" t="s">
        <v>101</v>
      </c>
      <c r="B78" s="6"/>
      <c r="C78" s="52" t="s">
        <v>141</v>
      </c>
      <c r="D78" s="52"/>
      <c r="E78" s="52"/>
      <c r="F78" s="52"/>
      <c r="G78" s="6"/>
      <c r="H78" s="7" t="s">
        <v>100</v>
      </c>
    </row>
    <row r="79" spans="1:8" ht="17.399999999999999" x14ac:dyDescent="0.3">
      <c r="A79" s="2" t="s">
        <v>0</v>
      </c>
      <c r="B79" s="2" t="s">
        <v>1</v>
      </c>
      <c r="C79" s="2" t="s">
        <v>98</v>
      </c>
      <c r="D79" s="2" t="s">
        <v>99</v>
      </c>
      <c r="E79" s="2" t="s">
        <v>0</v>
      </c>
      <c r="F79" s="2" t="s">
        <v>1</v>
      </c>
      <c r="G79" s="2" t="s">
        <v>98</v>
      </c>
      <c r="H79" s="2" t="s">
        <v>99</v>
      </c>
    </row>
    <row r="80" spans="1:8" x14ac:dyDescent="0.3">
      <c r="A80" s="3">
        <v>46295</v>
      </c>
      <c r="B80" s="4" t="s">
        <v>133</v>
      </c>
      <c r="C80" s="4"/>
      <c r="D80" s="10">
        <v>71500</v>
      </c>
      <c r="E80" s="3">
        <v>46273</v>
      </c>
      <c r="F80" s="4" t="s">
        <v>103</v>
      </c>
      <c r="G80" s="4"/>
      <c r="H80" s="10">
        <v>14000</v>
      </c>
    </row>
    <row r="81" spans="1:8" x14ac:dyDescent="0.3">
      <c r="A81" s="3"/>
      <c r="B81" s="4"/>
      <c r="C81" s="4"/>
      <c r="D81" s="10"/>
      <c r="E81" s="3">
        <v>46275</v>
      </c>
      <c r="F81" s="4" t="s">
        <v>142</v>
      </c>
      <c r="G81" s="4"/>
      <c r="H81" s="10">
        <v>22000</v>
      </c>
    </row>
    <row r="82" spans="1:8" x14ac:dyDescent="0.3">
      <c r="A82" s="3"/>
      <c r="B82" s="4"/>
      <c r="C82" s="4"/>
      <c r="D82" s="10"/>
      <c r="E82" s="3">
        <v>46285</v>
      </c>
      <c r="F82" s="4" t="s">
        <v>103</v>
      </c>
      <c r="G82" s="4"/>
      <c r="H82" s="10">
        <v>16500</v>
      </c>
    </row>
    <row r="83" spans="1:8" x14ac:dyDescent="0.3">
      <c r="A83" s="3"/>
      <c r="B83" s="4"/>
      <c r="C83" s="4"/>
      <c r="D83" s="10"/>
      <c r="E83" s="3">
        <v>46288</v>
      </c>
      <c r="F83" s="4" t="s">
        <v>142</v>
      </c>
      <c r="G83" s="4"/>
      <c r="H83" s="10">
        <v>19000</v>
      </c>
    </row>
    <row r="84" spans="1:8" x14ac:dyDescent="0.3">
      <c r="A84" s="4"/>
      <c r="B84" s="4"/>
      <c r="C84" s="4"/>
      <c r="D84" s="10"/>
      <c r="E84" s="4"/>
      <c r="F84" s="4"/>
      <c r="G84" s="4"/>
      <c r="H84" s="10"/>
    </row>
    <row r="85" spans="1:8" x14ac:dyDescent="0.3">
      <c r="A85" s="3"/>
      <c r="B85" s="4"/>
      <c r="C85" s="4"/>
      <c r="D85" s="8">
        <v>71500</v>
      </c>
      <c r="E85" s="4"/>
      <c r="F85" s="4"/>
      <c r="G85" s="4"/>
      <c r="H85" s="8">
        <f>SUM(H80:H83)</f>
        <v>71500</v>
      </c>
    </row>
    <row r="86" spans="1:8" x14ac:dyDescent="0.3">
      <c r="A86" s="4"/>
      <c r="B86" s="4"/>
      <c r="C86" s="4"/>
      <c r="D86" s="5"/>
      <c r="E86" s="3">
        <v>46296</v>
      </c>
      <c r="F86" s="4" t="s">
        <v>134</v>
      </c>
      <c r="G86" s="4"/>
      <c r="H86" s="8">
        <v>71500</v>
      </c>
    </row>
    <row r="87" spans="1:8" x14ac:dyDescent="0.3">
      <c r="D87" s="1"/>
      <c r="E87" s="14"/>
      <c r="H87" s="15"/>
    </row>
    <row r="88" spans="1:8" x14ac:dyDescent="0.3">
      <c r="D88" s="1"/>
      <c r="H88" s="1"/>
    </row>
    <row r="89" spans="1:8" ht="20.399999999999999" x14ac:dyDescent="0.35">
      <c r="A89" s="6" t="s">
        <v>101</v>
      </c>
      <c r="B89" s="6"/>
      <c r="C89" s="52" t="s">
        <v>138</v>
      </c>
      <c r="D89" s="52"/>
      <c r="E89" s="52"/>
      <c r="F89" s="52"/>
      <c r="G89" s="6"/>
      <c r="H89" s="7" t="s">
        <v>100</v>
      </c>
    </row>
    <row r="90" spans="1:8" ht="17.399999999999999" x14ac:dyDescent="0.3">
      <c r="A90" s="2" t="s">
        <v>0</v>
      </c>
      <c r="B90" s="2" t="s">
        <v>1</v>
      </c>
      <c r="C90" s="2" t="s">
        <v>98</v>
      </c>
      <c r="D90" s="2" t="s">
        <v>99</v>
      </c>
      <c r="E90" s="2" t="s">
        <v>0</v>
      </c>
      <c r="F90" s="2" t="s">
        <v>1</v>
      </c>
      <c r="G90" s="2" t="s">
        <v>98</v>
      </c>
      <c r="H90" s="2" t="s">
        <v>99</v>
      </c>
    </row>
    <row r="91" spans="1:8" x14ac:dyDescent="0.3">
      <c r="A91" s="3">
        <v>46277</v>
      </c>
      <c r="B91" s="4" t="s">
        <v>139</v>
      </c>
      <c r="C91" s="4"/>
      <c r="D91" s="10">
        <v>1000</v>
      </c>
      <c r="E91" s="3">
        <v>46270</v>
      </c>
      <c r="F91" s="4" t="s">
        <v>113</v>
      </c>
      <c r="G91" s="4"/>
      <c r="H91" s="10">
        <v>18000</v>
      </c>
    </row>
    <row r="92" spans="1:8" x14ac:dyDescent="0.3">
      <c r="A92" s="3">
        <v>46281</v>
      </c>
      <c r="B92" s="4" t="s">
        <v>131</v>
      </c>
      <c r="C92" s="4"/>
      <c r="D92" s="10">
        <v>10000</v>
      </c>
      <c r="E92" s="3">
        <v>46287</v>
      </c>
      <c r="F92" s="4" t="s">
        <v>113</v>
      </c>
      <c r="G92" s="4"/>
      <c r="H92" s="10">
        <v>12000</v>
      </c>
    </row>
    <row r="93" spans="1:8" x14ac:dyDescent="0.3">
      <c r="A93" s="3">
        <v>46295</v>
      </c>
      <c r="B93" s="4" t="s">
        <v>133</v>
      </c>
      <c r="C93" s="4"/>
      <c r="D93" s="10">
        <v>19000</v>
      </c>
      <c r="E93" s="4"/>
      <c r="F93" s="4"/>
      <c r="G93" s="4"/>
      <c r="H93" s="10"/>
    </row>
    <row r="94" spans="1:8" x14ac:dyDescent="0.3">
      <c r="A94" s="3"/>
      <c r="B94" s="4"/>
      <c r="C94" s="4"/>
      <c r="D94" s="10"/>
      <c r="E94" s="4"/>
      <c r="F94" s="4"/>
      <c r="G94" s="4"/>
      <c r="H94" s="10"/>
    </row>
    <row r="95" spans="1:8" x14ac:dyDescent="0.3">
      <c r="A95" s="4"/>
      <c r="B95" s="4"/>
      <c r="C95" s="4"/>
      <c r="D95" s="8">
        <v>30000</v>
      </c>
      <c r="E95" s="4"/>
      <c r="F95" s="4"/>
      <c r="G95" s="4"/>
      <c r="H95" s="8">
        <v>30000</v>
      </c>
    </row>
    <row r="96" spans="1:8" x14ac:dyDescent="0.3">
      <c r="A96" s="3"/>
      <c r="B96" s="4"/>
      <c r="C96" s="4"/>
      <c r="D96" s="10"/>
      <c r="E96" s="3">
        <v>46296</v>
      </c>
      <c r="F96" s="4" t="s">
        <v>134</v>
      </c>
      <c r="G96" s="4"/>
      <c r="H96" s="8">
        <v>19000</v>
      </c>
    </row>
    <row r="97" spans="1:8" x14ac:dyDescent="0.3">
      <c r="D97" s="1"/>
      <c r="H97" s="1"/>
    </row>
    <row r="98" spans="1:8" x14ac:dyDescent="0.3">
      <c r="D98" s="1"/>
      <c r="H98" s="1"/>
    </row>
    <row r="99" spans="1:8" ht="20.399999999999999" x14ac:dyDescent="0.35">
      <c r="A99" s="6" t="s">
        <v>101</v>
      </c>
      <c r="B99" s="6"/>
      <c r="C99" s="52" t="s">
        <v>140</v>
      </c>
      <c r="D99" s="52"/>
      <c r="E99" s="52"/>
      <c r="F99" s="52"/>
      <c r="G99" s="6"/>
      <c r="H99" s="7" t="s">
        <v>100</v>
      </c>
    </row>
    <row r="100" spans="1:8" ht="17.399999999999999" x14ac:dyDescent="0.3">
      <c r="A100" s="2" t="s">
        <v>0</v>
      </c>
      <c r="B100" s="2" t="s">
        <v>1</v>
      </c>
      <c r="C100" s="2" t="s">
        <v>98</v>
      </c>
      <c r="D100" s="2" t="s">
        <v>99</v>
      </c>
      <c r="E100" s="2" t="s">
        <v>0</v>
      </c>
      <c r="F100" s="2" t="s">
        <v>1</v>
      </c>
      <c r="G100" s="2" t="s">
        <v>98</v>
      </c>
      <c r="H100" s="2" t="s">
        <v>99</v>
      </c>
    </row>
    <row r="101" spans="1:8" x14ac:dyDescent="0.3">
      <c r="A101" s="3">
        <v>46272</v>
      </c>
      <c r="B101" s="4" t="s">
        <v>122</v>
      </c>
      <c r="C101" s="4"/>
      <c r="D101" s="10">
        <v>1200</v>
      </c>
      <c r="E101" s="3">
        <v>46295</v>
      </c>
      <c r="F101" s="4" t="s">
        <v>105</v>
      </c>
      <c r="G101" s="4"/>
      <c r="H101" s="10">
        <v>1200</v>
      </c>
    </row>
    <row r="102" spans="1:8" x14ac:dyDescent="0.3">
      <c r="A102" s="3"/>
      <c r="B102" s="4"/>
      <c r="C102" s="4"/>
      <c r="D102" s="10"/>
      <c r="E102" s="3"/>
      <c r="F102" s="4"/>
      <c r="G102" s="4"/>
      <c r="H102" s="10"/>
    </row>
    <row r="103" spans="1:8" x14ac:dyDescent="0.3">
      <c r="A103" s="3"/>
      <c r="B103" s="4"/>
      <c r="C103" s="4"/>
      <c r="D103" s="8">
        <v>1200</v>
      </c>
      <c r="E103" s="9"/>
      <c r="F103" s="9"/>
      <c r="G103" s="9"/>
      <c r="H103" s="8">
        <v>1200</v>
      </c>
    </row>
    <row r="104" spans="1:8" x14ac:dyDescent="0.3">
      <c r="A104" s="3">
        <v>46296</v>
      </c>
      <c r="B104" s="4" t="s">
        <v>104</v>
      </c>
      <c r="C104" s="4"/>
      <c r="D104" s="8">
        <v>1200</v>
      </c>
      <c r="E104" s="9"/>
      <c r="F104" s="9"/>
      <c r="G104" s="9"/>
      <c r="H104" s="8"/>
    </row>
    <row r="107" spans="1:8" ht="20.399999999999999" x14ac:dyDescent="0.35">
      <c r="A107" s="6" t="s">
        <v>101</v>
      </c>
      <c r="B107" s="6"/>
      <c r="C107" s="52" t="s">
        <v>143</v>
      </c>
      <c r="D107" s="52"/>
      <c r="E107" s="52"/>
      <c r="F107" s="52"/>
      <c r="G107" s="6"/>
      <c r="H107" s="7" t="s">
        <v>100</v>
      </c>
    </row>
    <row r="108" spans="1:8" ht="17.399999999999999" x14ac:dyDescent="0.3">
      <c r="A108" s="2" t="s">
        <v>0</v>
      </c>
      <c r="B108" s="2" t="s">
        <v>1</v>
      </c>
      <c r="C108" s="2" t="s">
        <v>98</v>
      </c>
      <c r="D108" s="2" t="s">
        <v>99</v>
      </c>
      <c r="E108" s="2" t="s">
        <v>0</v>
      </c>
      <c r="F108" s="2" t="s">
        <v>1</v>
      </c>
      <c r="G108" s="2" t="s">
        <v>98</v>
      </c>
      <c r="H108" s="2" t="s">
        <v>99</v>
      </c>
    </row>
    <row r="109" spans="1:8" x14ac:dyDescent="0.3">
      <c r="A109" s="3">
        <v>46275</v>
      </c>
      <c r="B109" s="4" t="s">
        <v>110</v>
      </c>
      <c r="C109" s="4"/>
      <c r="D109" s="10">
        <v>22000</v>
      </c>
      <c r="E109" s="3">
        <v>46278</v>
      </c>
      <c r="F109" s="4" t="s">
        <v>144</v>
      </c>
      <c r="G109" s="4"/>
      <c r="H109" s="10">
        <v>2000</v>
      </c>
    </row>
    <row r="110" spans="1:8" x14ac:dyDescent="0.3">
      <c r="A110" s="3">
        <v>46288</v>
      </c>
      <c r="B110" s="4" t="s">
        <v>110</v>
      </c>
      <c r="C110" s="4"/>
      <c r="D110" s="10">
        <v>19000</v>
      </c>
      <c r="E110" s="3">
        <v>46280</v>
      </c>
      <c r="F110" s="4" t="s">
        <v>107</v>
      </c>
      <c r="G110" s="4"/>
      <c r="H110" s="10">
        <v>15000</v>
      </c>
    </row>
    <row r="111" spans="1:8" x14ac:dyDescent="0.3">
      <c r="A111" s="3"/>
      <c r="B111" s="4"/>
      <c r="C111" s="4"/>
      <c r="D111" s="10"/>
      <c r="E111" s="3">
        <v>46293</v>
      </c>
      <c r="F111" s="4" t="s">
        <v>107</v>
      </c>
      <c r="G111" s="4"/>
      <c r="H111" s="10">
        <v>12000</v>
      </c>
    </row>
    <row r="112" spans="1:8" x14ac:dyDescent="0.3">
      <c r="A112" s="3"/>
      <c r="B112" s="4"/>
      <c r="C112" s="4"/>
      <c r="D112" s="10"/>
      <c r="E112" s="3">
        <v>46295</v>
      </c>
      <c r="F112" s="4" t="s">
        <v>105</v>
      </c>
      <c r="G112" s="4"/>
      <c r="H112" s="10">
        <v>12000</v>
      </c>
    </row>
    <row r="113" spans="1:8" x14ac:dyDescent="0.3">
      <c r="A113" s="4"/>
      <c r="B113" s="4"/>
      <c r="C113" s="4"/>
      <c r="E113" s="4"/>
      <c r="F113" s="4"/>
      <c r="G113" s="4"/>
      <c r="H113" s="10"/>
    </row>
    <row r="114" spans="1:8" x14ac:dyDescent="0.3">
      <c r="A114" s="3"/>
      <c r="B114" s="4"/>
      <c r="C114" s="4"/>
      <c r="D114" s="8">
        <v>41000</v>
      </c>
      <c r="E114" s="13"/>
      <c r="F114" s="9"/>
      <c r="G114" s="9"/>
      <c r="H114" s="8">
        <f>SUM(H109:H112)</f>
        <v>41000</v>
      </c>
    </row>
    <row r="115" spans="1:8" x14ac:dyDescent="0.3">
      <c r="A115" s="3">
        <v>46296</v>
      </c>
      <c r="B115" s="4" t="s">
        <v>104</v>
      </c>
      <c r="C115" s="4"/>
      <c r="D115" s="8">
        <v>12000</v>
      </c>
      <c r="E115" s="9"/>
      <c r="F115" s="9"/>
      <c r="G115" s="9"/>
      <c r="H115" s="8"/>
    </row>
    <row r="116" spans="1:8" x14ac:dyDescent="0.3">
      <c r="D116" s="1"/>
      <c r="H116" s="1"/>
    </row>
    <row r="117" spans="1:8" x14ac:dyDescent="0.3">
      <c r="D117" s="1"/>
      <c r="H117" s="1"/>
    </row>
    <row r="118" spans="1:8" ht="20.399999999999999" x14ac:dyDescent="0.35">
      <c r="A118" s="6" t="s">
        <v>101</v>
      </c>
      <c r="B118" s="6"/>
      <c r="C118" s="52" t="s">
        <v>145</v>
      </c>
      <c r="D118" s="52"/>
      <c r="E118" s="52"/>
      <c r="F118" s="52"/>
      <c r="G118" s="6"/>
      <c r="H118" s="7" t="s">
        <v>100</v>
      </c>
    </row>
    <row r="119" spans="1:8" ht="17.399999999999999" x14ac:dyDescent="0.3">
      <c r="A119" s="2" t="s">
        <v>0</v>
      </c>
      <c r="B119" s="2" t="s">
        <v>1</v>
      </c>
      <c r="C119" s="2" t="s">
        <v>98</v>
      </c>
      <c r="D119" s="2" t="s">
        <v>99</v>
      </c>
      <c r="E119" s="2" t="s">
        <v>0</v>
      </c>
      <c r="F119" s="2" t="s">
        <v>1</v>
      </c>
      <c r="G119" s="2" t="s">
        <v>98</v>
      </c>
      <c r="H119" s="2" t="s">
        <v>99</v>
      </c>
    </row>
    <row r="120" spans="1:8" x14ac:dyDescent="0.3">
      <c r="A120" s="3">
        <v>46276</v>
      </c>
      <c r="B120" s="4" t="s">
        <v>122</v>
      </c>
      <c r="C120" s="4"/>
      <c r="D120" s="10">
        <v>1500</v>
      </c>
      <c r="E120" s="3">
        <v>46295</v>
      </c>
      <c r="F120" s="4" t="s">
        <v>105</v>
      </c>
      <c r="G120" s="4"/>
      <c r="H120" s="10">
        <v>1500</v>
      </c>
    </row>
    <row r="121" spans="1:8" x14ac:dyDescent="0.3">
      <c r="A121" s="3"/>
      <c r="B121" s="4"/>
      <c r="C121" s="4"/>
      <c r="D121" s="10"/>
      <c r="E121" s="3"/>
      <c r="F121" s="4"/>
      <c r="G121" s="4"/>
      <c r="H121" s="10"/>
    </row>
    <row r="122" spans="1:8" x14ac:dyDescent="0.3">
      <c r="A122" s="3"/>
      <c r="B122" s="4"/>
      <c r="C122" s="4"/>
      <c r="D122" s="8">
        <v>1500</v>
      </c>
      <c r="E122" s="13"/>
      <c r="F122" s="9"/>
      <c r="G122" s="9"/>
      <c r="H122" s="8">
        <v>1500</v>
      </c>
    </row>
    <row r="123" spans="1:8" x14ac:dyDescent="0.3">
      <c r="A123" s="3">
        <v>46296</v>
      </c>
      <c r="B123" s="4" t="s">
        <v>104</v>
      </c>
      <c r="C123" s="4"/>
      <c r="D123" s="8">
        <v>1500</v>
      </c>
      <c r="E123" s="13"/>
      <c r="F123" s="9"/>
      <c r="G123" s="9"/>
      <c r="H123" s="8"/>
    </row>
    <row r="126" spans="1:8" ht="20.399999999999999" x14ac:dyDescent="0.35">
      <c r="A126" s="6" t="s">
        <v>101</v>
      </c>
      <c r="B126" s="6"/>
      <c r="C126" s="52" t="s">
        <v>146</v>
      </c>
      <c r="D126" s="52"/>
      <c r="E126" s="52"/>
      <c r="F126" s="52"/>
      <c r="G126" s="6"/>
      <c r="H126" s="7" t="s">
        <v>100</v>
      </c>
    </row>
    <row r="127" spans="1:8" ht="17.399999999999999" x14ac:dyDescent="0.3">
      <c r="A127" s="2" t="s">
        <v>0</v>
      </c>
      <c r="B127" s="2" t="s">
        <v>1</v>
      </c>
      <c r="C127" s="2" t="s">
        <v>98</v>
      </c>
      <c r="D127" s="2" t="s">
        <v>99</v>
      </c>
      <c r="E127" s="2" t="s">
        <v>0</v>
      </c>
      <c r="F127" s="2" t="s">
        <v>1</v>
      </c>
      <c r="G127" s="2" t="s">
        <v>98</v>
      </c>
      <c r="H127" s="2" t="s">
        <v>99</v>
      </c>
    </row>
    <row r="128" spans="1:8" x14ac:dyDescent="0.3">
      <c r="A128" s="3">
        <v>46295</v>
      </c>
      <c r="B128" s="4" t="s">
        <v>133</v>
      </c>
      <c r="C128" s="4"/>
      <c r="D128" s="10">
        <v>1000</v>
      </c>
      <c r="E128" s="3">
        <v>46277</v>
      </c>
      <c r="F128" s="4" t="s">
        <v>124</v>
      </c>
      <c r="G128" s="4"/>
      <c r="H128" s="10">
        <v>1000</v>
      </c>
    </row>
    <row r="129" spans="1:8" x14ac:dyDescent="0.3">
      <c r="A129" s="3"/>
      <c r="B129" s="4"/>
      <c r="C129" s="4"/>
      <c r="D129" s="10"/>
      <c r="E129" s="3"/>
      <c r="F129" s="4"/>
      <c r="G129" s="4"/>
      <c r="H129" s="10"/>
    </row>
    <row r="130" spans="1:8" x14ac:dyDescent="0.3">
      <c r="A130" s="3"/>
      <c r="B130" s="4"/>
      <c r="C130" s="4"/>
      <c r="D130" s="8">
        <v>1000</v>
      </c>
      <c r="E130" s="3"/>
      <c r="F130" s="4"/>
      <c r="G130" s="4"/>
      <c r="H130" s="8">
        <v>1000</v>
      </c>
    </row>
    <row r="131" spans="1:8" x14ac:dyDescent="0.3">
      <c r="A131" s="3"/>
      <c r="B131" s="4"/>
      <c r="C131" s="4"/>
      <c r="D131" s="10"/>
      <c r="E131" s="3">
        <v>46296</v>
      </c>
      <c r="F131" s="4" t="s">
        <v>134</v>
      </c>
      <c r="G131" s="4"/>
      <c r="H131" s="8">
        <v>1000</v>
      </c>
    </row>
    <row r="134" spans="1:8" ht="20.399999999999999" x14ac:dyDescent="0.35">
      <c r="A134" s="6" t="s">
        <v>101</v>
      </c>
      <c r="B134" s="6"/>
      <c r="C134" s="52" t="s">
        <v>147</v>
      </c>
      <c r="D134" s="52"/>
      <c r="E134" s="52"/>
      <c r="F134" s="52"/>
      <c r="G134" s="6"/>
      <c r="H134" s="7" t="s">
        <v>100</v>
      </c>
    </row>
    <row r="135" spans="1:8" ht="17.399999999999999" x14ac:dyDescent="0.3">
      <c r="A135" s="2" t="s">
        <v>0</v>
      </c>
      <c r="B135" s="2" t="s">
        <v>1</v>
      </c>
      <c r="C135" s="2" t="s">
        <v>98</v>
      </c>
      <c r="D135" s="2" t="s">
        <v>99</v>
      </c>
      <c r="E135" s="2" t="s">
        <v>0</v>
      </c>
      <c r="F135" s="2" t="s">
        <v>1</v>
      </c>
      <c r="G135" s="2" t="s">
        <v>98</v>
      </c>
      <c r="H135" s="2" t="s">
        <v>99</v>
      </c>
    </row>
    <row r="136" spans="1:8" x14ac:dyDescent="0.3">
      <c r="A136" s="3">
        <v>46278</v>
      </c>
      <c r="B136" s="4" t="s">
        <v>123</v>
      </c>
      <c r="C136" s="4"/>
      <c r="D136" s="10">
        <v>2000</v>
      </c>
      <c r="E136" s="3">
        <v>46295</v>
      </c>
      <c r="F136" s="4" t="s">
        <v>105</v>
      </c>
      <c r="G136" s="4"/>
      <c r="H136" s="10">
        <v>2000</v>
      </c>
    </row>
    <row r="137" spans="1:8" x14ac:dyDescent="0.3">
      <c r="A137" s="3"/>
      <c r="B137" s="4"/>
      <c r="C137" s="4"/>
      <c r="D137" s="10"/>
      <c r="E137" s="3"/>
      <c r="F137" s="4"/>
      <c r="G137" s="4"/>
      <c r="H137" s="10"/>
    </row>
    <row r="138" spans="1:8" x14ac:dyDescent="0.3">
      <c r="A138" s="3"/>
      <c r="B138" s="4"/>
      <c r="C138" s="4"/>
      <c r="D138" s="8">
        <v>2000</v>
      </c>
      <c r="E138" s="13"/>
      <c r="F138" s="9"/>
      <c r="G138" s="9"/>
      <c r="H138" s="8">
        <v>2000</v>
      </c>
    </row>
    <row r="139" spans="1:8" x14ac:dyDescent="0.3">
      <c r="A139" s="3">
        <v>46296</v>
      </c>
      <c r="B139" s="4" t="s">
        <v>104</v>
      </c>
      <c r="C139" s="4"/>
      <c r="D139" s="8">
        <v>2000</v>
      </c>
      <c r="E139" s="13"/>
      <c r="F139" s="9"/>
      <c r="G139" s="9"/>
      <c r="H139" s="8"/>
    </row>
    <row r="140" spans="1:8" x14ac:dyDescent="0.3">
      <c r="D140" s="1"/>
      <c r="H140" s="1"/>
    </row>
    <row r="141" spans="1:8" x14ac:dyDescent="0.3">
      <c r="D141" s="1"/>
      <c r="H141" s="1"/>
    </row>
    <row r="142" spans="1:8" ht="20.399999999999999" x14ac:dyDescent="0.35">
      <c r="A142" s="6" t="s">
        <v>101</v>
      </c>
      <c r="B142" s="6"/>
      <c r="C142" s="52" t="s">
        <v>148</v>
      </c>
      <c r="D142" s="52"/>
      <c r="E142" s="52"/>
      <c r="F142" s="52"/>
      <c r="G142" s="6"/>
      <c r="H142" s="7" t="s">
        <v>100</v>
      </c>
    </row>
    <row r="143" spans="1:8" ht="17.399999999999999" x14ac:dyDescent="0.3">
      <c r="A143" s="2" t="s">
        <v>0</v>
      </c>
      <c r="B143" s="2" t="s">
        <v>1</v>
      </c>
      <c r="C143" s="2" t="s">
        <v>98</v>
      </c>
      <c r="D143" s="2" t="s">
        <v>99</v>
      </c>
      <c r="E143" s="2" t="s">
        <v>0</v>
      </c>
      <c r="F143" s="2" t="s">
        <v>1</v>
      </c>
      <c r="G143" s="2" t="s">
        <v>98</v>
      </c>
      <c r="H143" s="2" t="s">
        <v>99</v>
      </c>
    </row>
    <row r="144" spans="1:8" x14ac:dyDescent="0.3">
      <c r="A144" s="3">
        <v>46279</v>
      </c>
      <c r="B144" s="4" t="s">
        <v>122</v>
      </c>
      <c r="C144" s="4"/>
      <c r="D144" s="10">
        <v>900</v>
      </c>
      <c r="E144" s="3">
        <v>46295</v>
      </c>
      <c r="F144" s="4" t="s">
        <v>105</v>
      </c>
      <c r="G144" s="4"/>
      <c r="H144" s="10">
        <v>900</v>
      </c>
    </row>
    <row r="145" spans="1:8" x14ac:dyDescent="0.3">
      <c r="A145" s="3"/>
      <c r="B145" s="4"/>
      <c r="C145" s="4"/>
      <c r="D145" s="10"/>
      <c r="E145" s="3"/>
      <c r="F145" s="4"/>
      <c r="G145" s="4"/>
      <c r="H145" s="10"/>
    </row>
    <row r="146" spans="1:8" x14ac:dyDescent="0.3">
      <c r="A146" s="3"/>
      <c r="B146" s="4"/>
      <c r="C146" s="4"/>
      <c r="D146" s="8">
        <v>900</v>
      </c>
      <c r="E146" s="13"/>
      <c r="F146" s="9"/>
      <c r="G146" s="9"/>
      <c r="H146" s="8">
        <v>900</v>
      </c>
    </row>
    <row r="147" spans="1:8" x14ac:dyDescent="0.3">
      <c r="A147" s="3">
        <v>46296</v>
      </c>
      <c r="B147" s="4" t="s">
        <v>104</v>
      </c>
      <c r="C147" s="4"/>
      <c r="D147" s="8">
        <v>900</v>
      </c>
      <c r="E147" s="13"/>
      <c r="F147" s="9"/>
      <c r="G147" s="9"/>
      <c r="H147" s="8"/>
    </row>
    <row r="148" spans="1:8" x14ac:dyDescent="0.3">
      <c r="D148" s="1"/>
      <c r="H148" s="1"/>
    </row>
    <row r="149" spans="1:8" x14ac:dyDescent="0.3">
      <c r="D149" s="1"/>
      <c r="H149" s="1"/>
    </row>
    <row r="150" spans="1:8" ht="20.399999999999999" x14ac:dyDescent="0.35">
      <c r="A150" s="6" t="s">
        <v>101</v>
      </c>
      <c r="B150" s="6"/>
      <c r="C150" s="52" t="s">
        <v>149</v>
      </c>
      <c r="D150" s="52"/>
      <c r="E150" s="52"/>
      <c r="F150" s="52"/>
      <c r="G150" s="6"/>
      <c r="H150" s="7" t="s">
        <v>100</v>
      </c>
    </row>
    <row r="151" spans="1:8" ht="17.399999999999999" x14ac:dyDescent="0.3">
      <c r="A151" s="2" t="s">
        <v>0</v>
      </c>
      <c r="B151" s="2" t="s">
        <v>1</v>
      </c>
      <c r="C151" s="2" t="s">
        <v>98</v>
      </c>
      <c r="D151" s="2" t="s">
        <v>99</v>
      </c>
      <c r="E151" s="2" t="s">
        <v>0</v>
      </c>
      <c r="F151" s="2" t="s">
        <v>1</v>
      </c>
      <c r="G151" s="2" t="s">
        <v>98</v>
      </c>
      <c r="H151" s="2" t="s">
        <v>99</v>
      </c>
    </row>
    <row r="152" spans="1:8" x14ac:dyDescent="0.3">
      <c r="A152" s="3">
        <v>46283</v>
      </c>
      <c r="B152" s="4" t="s">
        <v>122</v>
      </c>
      <c r="C152" s="4"/>
      <c r="D152" s="10">
        <v>3500</v>
      </c>
      <c r="E152" s="3">
        <v>46295</v>
      </c>
      <c r="F152" s="4" t="s">
        <v>105</v>
      </c>
      <c r="G152" s="4"/>
      <c r="H152" s="10">
        <v>3500</v>
      </c>
    </row>
    <row r="153" spans="1:8" x14ac:dyDescent="0.3">
      <c r="A153" s="3"/>
      <c r="B153" s="4"/>
      <c r="C153" s="4"/>
      <c r="D153" s="10"/>
      <c r="E153" s="3"/>
      <c r="F153" s="4"/>
      <c r="G153" s="4"/>
      <c r="H153" s="10"/>
    </row>
    <row r="154" spans="1:8" x14ac:dyDescent="0.3">
      <c r="A154" s="3"/>
      <c r="B154" s="4"/>
      <c r="C154" s="4"/>
      <c r="D154" s="8">
        <v>3500</v>
      </c>
      <c r="E154" s="13"/>
      <c r="F154" s="9"/>
      <c r="G154" s="9"/>
      <c r="H154" s="8">
        <v>3500</v>
      </c>
    </row>
    <row r="155" spans="1:8" x14ac:dyDescent="0.3">
      <c r="A155" s="3">
        <v>46296</v>
      </c>
      <c r="B155" s="4" t="s">
        <v>104</v>
      </c>
      <c r="C155" s="4"/>
      <c r="D155" s="8">
        <v>3500</v>
      </c>
      <c r="E155" s="13"/>
      <c r="F155" s="9"/>
      <c r="G155" s="9"/>
      <c r="H155" s="8"/>
    </row>
    <row r="156" spans="1:8" x14ac:dyDescent="0.3">
      <c r="D156" s="1"/>
      <c r="H156" s="1"/>
    </row>
    <row r="157" spans="1:8" x14ac:dyDescent="0.3">
      <c r="D157" s="1"/>
      <c r="H157" s="1"/>
    </row>
    <row r="158" spans="1:8" ht="20.399999999999999" x14ac:dyDescent="0.35">
      <c r="A158" s="6" t="s">
        <v>101</v>
      </c>
      <c r="B158" s="6"/>
      <c r="C158" s="52" t="s">
        <v>150</v>
      </c>
      <c r="D158" s="52"/>
      <c r="E158" s="52"/>
      <c r="F158" s="52"/>
      <c r="G158" s="6"/>
      <c r="H158" s="7" t="s">
        <v>100</v>
      </c>
    </row>
    <row r="159" spans="1:8" ht="17.399999999999999" x14ac:dyDescent="0.3">
      <c r="A159" s="2" t="s">
        <v>0</v>
      </c>
      <c r="B159" s="2" t="s">
        <v>1</v>
      </c>
      <c r="C159" s="2" t="s">
        <v>98</v>
      </c>
      <c r="D159" s="2" t="s">
        <v>99</v>
      </c>
      <c r="E159" s="2" t="s">
        <v>0</v>
      </c>
      <c r="F159" s="2" t="s">
        <v>1</v>
      </c>
      <c r="G159" s="2" t="s">
        <v>98</v>
      </c>
      <c r="H159" s="2" t="s">
        <v>99</v>
      </c>
    </row>
    <row r="160" spans="1:8" x14ac:dyDescent="0.3">
      <c r="A160" s="3">
        <v>46284</v>
      </c>
      <c r="B160" s="4" t="s">
        <v>122</v>
      </c>
      <c r="C160" s="4"/>
      <c r="D160" s="10">
        <v>4800</v>
      </c>
      <c r="E160" s="3">
        <v>46295</v>
      </c>
      <c r="F160" s="4" t="s">
        <v>105</v>
      </c>
      <c r="G160" s="4"/>
      <c r="H160" s="10">
        <v>4800</v>
      </c>
    </row>
    <row r="161" spans="1:8" x14ac:dyDescent="0.3">
      <c r="A161" s="3"/>
      <c r="B161" s="4"/>
      <c r="C161" s="4"/>
      <c r="D161" s="10"/>
      <c r="E161" s="3"/>
      <c r="F161" s="4"/>
      <c r="G161" s="4"/>
      <c r="H161" s="10"/>
    </row>
    <row r="162" spans="1:8" x14ac:dyDescent="0.3">
      <c r="A162" s="3"/>
      <c r="B162" s="4"/>
      <c r="C162" s="4"/>
      <c r="D162" s="8">
        <v>4800</v>
      </c>
      <c r="E162" s="13"/>
      <c r="F162" s="9"/>
      <c r="G162" s="9"/>
      <c r="H162" s="8">
        <v>4800</v>
      </c>
    </row>
    <row r="163" spans="1:8" x14ac:dyDescent="0.3">
      <c r="A163" s="3">
        <v>46296</v>
      </c>
      <c r="B163" s="4" t="s">
        <v>104</v>
      </c>
      <c r="C163" s="4"/>
      <c r="D163" s="8">
        <v>4800</v>
      </c>
      <c r="E163" s="13"/>
      <c r="F163" s="9"/>
      <c r="G163" s="9"/>
      <c r="H163" s="8"/>
    </row>
    <row r="164" spans="1:8" x14ac:dyDescent="0.3">
      <c r="D164" s="1"/>
      <c r="H164" s="1"/>
    </row>
    <row r="165" spans="1:8" x14ac:dyDescent="0.3">
      <c r="D165" s="1"/>
      <c r="H165" s="1"/>
    </row>
    <row r="166" spans="1:8" ht="20.399999999999999" x14ac:dyDescent="0.35">
      <c r="A166" s="6" t="s">
        <v>101</v>
      </c>
      <c r="B166" s="6"/>
      <c r="C166" s="52" t="s">
        <v>151</v>
      </c>
      <c r="D166" s="52"/>
      <c r="E166" s="52"/>
      <c r="F166" s="52"/>
      <c r="G166" s="6"/>
      <c r="H166" s="7" t="s">
        <v>100</v>
      </c>
    </row>
    <row r="167" spans="1:8" ht="17.399999999999999" x14ac:dyDescent="0.3">
      <c r="A167" s="2" t="s">
        <v>0</v>
      </c>
      <c r="B167" s="2" t="s">
        <v>1</v>
      </c>
      <c r="C167" s="2" t="s">
        <v>98</v>
      </c>
      <c r="D167" s="2" t="s">
        <v>99</v>
      </c>
      <c r="E167" s="2" t="s">
        <v>0</v>
      </c>
      <c r="F167" s="2" t="s">
        <v>1</v>
      </c>
      <c r="G167" s="2" t="s">
        <v>98</v>
      </c>
      <c r="H167" s="2" t="s">
        <v>99</v>
      </c>
    </row>
    <row r="168" spans="1:8" x14ac:dyDescent="0.3">
      <c r="A168" s="3">
        <v>46286</v>
      </c>
      <c r="B168" s="4" t="s">
        <v>122</v>
      </c>
      <c r="C168" s="4"/>
      <c r="D168" s="10">
        <v>3000</v>
      </c>
      <c r="E168" s="3">
        <v>46295</v>
      </c>
      <c r="F168" s="4" t="s">
        <v>105</v>
      </c>
      <c r="G168" s="4"/>
      <c r="H168" s="10">
        <v>3000</v>
      </c>
    </row>
    <row r="169" spans="1:8" x14ac:dyDescent="0.3">
      <c r="A169" s="3"/>
      <c r="B169" s="4"/>
      <c r="C169" s="4"/>
      <c r="D169" s="10"/>
      <c r="E169" s="3"/>
      <c r="F169" s="4"/>
      <c r="G169" s="4"/>
      <c r="H169" s="10"/>
    </row>
    <row r="170" spans="1:8" x14ac:dyDescent="0.3">
      <c r="A170" s="3"/>
      <c r="B170" s="4"/>
      <c r="C170" s="4"/>
      <c r="D170" s="8">
        <v>3000</v>
      </c>
      <c r="E170" s="13"/>
      <c r="F170" s="9"/>
      <c r="G170" s="9"/>
      <c r="H170" s="8">
        <v>3000</v>
      </c>
    </row>
    <row r="171" spans="1:8" x14ac:dyDescent="0.3">
      <c r="A171" s="3">
        <v>46296</v>
      </c>
      <c r="B171" s="4" t="s">
        <v>104</v>
      </c>
      <c r="C171" s="4"/>
      <c r="D171" s="8">
        <v>3000</v>
      </c>
      <c r="E171" s="13"/>
      <c r="F171" s="9"/>
      <c r="G171" s="9"/>
      <c r="H171" s="8"/>
    </row>
    <row r="172" spans="1:8" x14ac:dyDescent="0.3">
      <c r="D172" s="1"/>
      <c r="H172" s="1"/>
    </row>
    <row r="173" spans="1:8" x14ac:dyDescent="0.3">
      <c r="D173" s="1"/>
      <c r="H173" s="1"/>
    </row>
    <row r="174" spans="1:8" ht="20.399999999999999" x14ac:dyDescent="0.35">
      <c r="A174" s="6" t="s">
        <v>101</v>
      </c>
      <c r="B174" s="6"/>
      <c r="C174" s="52" t="s">
        <v>152</v>
      </c>
      <c r="D174" s="52"/>
      <c r="E174" s="52"/>
      <c r="F174" s="52"/>
      <c r="G174" s="6"/>
      <c r="H174" s="7" t="s">
        <v>100</v>
      </c>
    </row>
    <row r="175" spans="1:8" ht="17.399999999999999" x14ac:dyDescent="0.3">
      <c r="A175" s="2" t="s">
        <v>0</v>
      </c>
      <c r="B175" s="2" t="s">
        <v>1</v>
      </c>
      <c r="C175" s="2" t="s">
        <v>98</v>
      </c>
      <c r="D175" s="2" t="s">
        <v>99</v>
      </c>
      <c r="E175" s="2" t="s">
        <v>0</v>
      </c>
      <c r="F175" s="2" t="s">
        <v>1</v>
      </c>
      <c r="G175" s="2" t="s">
        <v>98</v>
      </c>
      <c r="H175" s="2" t="s">
        <v>99</v>
      </c>
    </row>
    <row r="176" spans="1:8" x14ac:dyDescent="0.3">
      <c r="A176" s="3">
        <v>46295</v>
      </c>
      <c r="B176" s="4" t="s">
        <v>105</v>
      </c>
      <c r="C176" s="4"/>
      <c r="D176" s="10">
        <v>1800</v>
      </c>
      <c r="E176" s="3">
        <v>46289</v>
      </c>
      <c r="F176" s="4" t="s">
        <v>122</v>
      </c>
      <c r="G176" s="4"/>
      <c r="H176" s="10">
        <v>1800</v>
      </c>
    </row>
    <row r="177" spans="1:8" x14ac:dyDescent="0.3">
      <c r="A177" s="4"/>
      <c r="B177" s="4"/>
      <c r="C177" s="4"/>
      <c r="D177" s="10"/>
      <c r="E177" s="3"/>
      <c r="F177" s="4"/>
      <c r="G177" s="4"/>
      <c r="H177" s="10"/>
    </row>
    <row r="178" spans="1:8" x14ac:dyDescent="0.3">
      <c r="A178" s="3"/>
      <c r="B178" s="4"/>
      <c r="C178" s="4"/>
      <c r="D178" s="8">
        <v>1800</v>
      </c>
      <c r="E178" s="13"/>
      <c r="F178" s="9"/>
      <c r="G178" s="9"/>
      <c r="H178" s="8">
        <v>1800</v>
      </c>
    </row>
    <row r="179" spans="1:8" x14ac:dyDescent="0.3">
      <c r="A179" s="4"/>
      <c r="B179" s="4"/>
      <c r="C179" s="4"/>
      <c r="D179" s="4"/>
      <c r="E179" s="3">
        <v>46296</v>
      </c>
      <c r="F179" s="4" t="s">
        <v>104</v>
      </c>
      <c r="G179" s="4"/>
      <c r="H179" s="8">
        <v>1800</v>
      </c>
    </row>
    <row r="180" spans="1:8" x14ac:dyDescent="0.3">
      <c r="D180" s="1"/>
      <c r="H180" s="1"/>
    </row>
    <row r="181" spans="1:8" x14ac:dyDescent="0.3">
      <c r="D181" s="1"/>
      <c r="H181" s="1"/>
    </row>
    <row r="182" spans="1:8" ht="20.399999999999999" x14ac:dyDescent="0.35">
      <c r="A182" s="6" t="s">
        <v>101</v>
      </c>
      <c r="B182" s="6"/>
      <c r="C182" s="52" t="s">
        <v>153</v>
      </c>
      <c r="D182" s="52"/>
      <c r="E182" s="52"/>
      <c r="F182" s="52"/>
      <c r="G182" s="6"/>
      <c r="H182" s="7" t="s">
        <v>100</v>
      </c>
    </row>
    <row r="183" spans="1:8" ht="17.399999999999999" x14ac:dyDescent="0.3">
      <c r="A183" s="2" t="s">
        <v>0</v>
      </c>
      <c r="B183" s="2" t="s">
        <v>1</v>
      </c>
      <c r="C183" s="2" t="s">
        <v>98</v>
      </c>
      <c r="D183" s="2" t="s">
        <v>99</v>
      </c>
      <c r="E183" s="2" t="s">
        <v>0</v>
      </c>
      <c r="F183" s="2" t="s">
        <v>1</v>
      </c>
      <c r="G183" s="2" t="s">
        <v>98</v>
      </c>
      <c r="H183" s="2" t="s">
        <v>99</v>
      </c>
    </row>
    <row r="184" spans="1:8" x14ac:dyDescent="0.3">
      <c r="A184" s="3">
        <v>46290</v>
      </c>
      <c r="B184" s="4" t="s">
        <v>131</v>
      </c>
      <c r="C184" s="4"/>
      <c r="D184" s="10">
        <v>4000</v>
      </c>
      <c r="E184" s="3">
        <v>46295</v>
      </c>
      <c r="F184" s="4" t="s">
        <v>105</v>
      </c>
      <c r="G184" s="4"/>
      <c r="H184" s="10">
        <v>4000</v>
      </c>
    </row>
    <row r="185" spans="1:8" x14ac:dyDescent="0.3">
      <c r="A185" s="3"/>
      <c r="B185" s="4"/>
      <c r="C185" s="4"/>
      <c r="D185" s="10"/>
      <c r="E185" s="3"/>
      <c r="F185" s="4"/>
      <c r="G185" s="4"/>
      <c r="H185" s="10"/>
    </row>
    <row r="186" spans="1:8" x14ac:dyDescent="0.3">
      <c r="A186" s="3"/>
      <c r="B186" s="4"/>
      <c r="C186" s="4"/>
      <c r="D186" s="8">
        <v>4000</v>
      </c>
      <c r="E186" s="13"/>
      <c r="F186" s="9"/>
      <c r="G186" s="9"/>
      <c r="H186" s="8">
        <v>4000</v>
      </c>
    </row>
    <row r="187" spans="1:8" x14ac:dyDescent="0.3">
      <c r="A187" s="3">
        <v>46296</v>
      </c>
      <c r="B187" s="4" t="s">
        <v>104</v>
      </c>
      <c r="C187" s="4"/>
      <c r="D187" s="8">
        <v>4000</v>
      </c>
      <c r="E187" s="13"/>
      <c r="F187" s="9"/>
      <c r="G187" s="9"/>
      <c r="H187" s="8"/>
    </row>
    <row r="188" spans="1:8" x14ac:dyDescent="0.3">
      <c r="D188" s="1"/>
      <c r="H188" s="1"/>
    </row>
    <row r="189" spans="1:8" x14ac:dyDescent="0.3">
      <c r="D189" s="1"/>
      <c r="H189" s="1"/>
    </row>
    <row r="190" spans="1:8" ht="20.399999999999999" x14ac:dyDescent="0.35">
      <c r="A190" s="6" t="s">
        <v>101</v>
      </c>
      <c r="B190" s="6"/>
      <c r="C190" s="52" t="s">
        <v>154</v>
      </c>
      <c r="D190" s="52"/>
      <c r="E190" s="52"/>
      <c r="F190" s="52"/>
      <c r="G190" s="6"/>
      <c r="H190" s="7" t="s">
        <v>100</v>
      </c>
    </row>
    <row r="191" spans="1:8" ht="17.399999999999999" x14ac:dyDescent="0.3">
      <c r="A191" s="2" t="s">
        <v>0</v>
      </c>
      <c r="B191" s="2" t="s">
        <v>1</v>
      </c>
      <c r="C191" s="2" t="s">
        <v>98</v>
      </c>
      <c r="D191" s="2" t="s">
        <v>99</v>
      </c>
      <c r="E191" s="2" t="s">
        <v>0</v>
      </c>
      <c r="F191" s="2" t="s">
        <v>1</v>
      </c>
      <c r="G191" s="2" t="s">
        <v>98</v>
      </c>
      <c r="H191" s="2" t="s">
        <v>99</v>
      </c>
    </row>
    <row r="192" spans="1:8" x14ac:dyDescent="0.3">
      <c r="A192" s="3">
        <v>46292</v>
      </c>
      <c r="B192" s="4" t="s">
        <v>122</v>
      </c>
      <c r="C192" s="4"/>
      <c r="D192" s="10">
        <v>1100</v>
      </c>
      <c r="E192" s="3">
        <v>46295</v>
      </c>
      <c r="F192" s="4" t="s">
        <v>105</v>
      </c>
      <c r="G192" s="4"/>
      <c r="H192" s="10">
        <v>1100</v>
      </c>
    </row>
    <row r="193" spans="1:8" x14ac:dyDescent="0.3">
      <c r="A193" s="3"/>
      <c r="B193" s="4"/>
      <c r="C193" s="4"/>
      <c r="D193" s="10"/>
      <c r="E193" s="3"/>
      <c r="F193" s="4"/>
      <c r="G193" s="4"/>
      <c r="H193" s="10"/>
    </row>
    <row r="194" spans="1:8" x14ac:dyDescent="0.3">
      <c r="A194" s="3"/>
      <c r="B194" s="4"/>
      <c r="C194" s="4"/>
      <c r="D194" s="8">
        <v>1100</v>
      </c>
      <c r="E194" s="13"/>
      <c r="F194" s="9"/>
      <c r="G194" s="9"/>
      <c r="H194" s="8">
        <v>1100</v>
      </c>
    </row>
    <row r="195" spans="1:8" x14ac:dyDescent="0.3">
      <c r="A195" s="3">
        <v>46296</v>
      </c>
      <c r="B195" s="4" t="s">
        <v>104</v>
      </c>
      <c r="C195" s="4"/>
      <c r="D195" s="8">
        <v>1100</v>
      </c>
      <c r="E195" s="13"/>
      <c r="F195" s="9"/>
      <c r="G195" s="9"/>
      <c r="H195" s="8"/>
    </row>
    <row r="196" spans="1:8" x14ac:dyDescent="0.3">
      <c r="D196" s="1"/>
      <c r="H196" s="1"/>
    </row>
    <row r="197" spans="1:8" x14ac:dyDescent="0.3">
      <c r="D197" s="1"/>
      <c r="H197" s="1"/>
    </row>
    <row r="198" spans="1:8" ht="20.399999999999999" x14ac:dyDescent="0.35">
      <c r="A198" s="6" t="s">
        <v>101</v>
      </c>
      <c r="B198" s="6"/>
      <c r="C198" s="52" t="s">
        <v>155</v>
      </c>
      <c r="D198" s="52"/>
      <c r="E198" s="52"/>
      <c r="F198" s="52"/>
      <c r="G198" s="6"/>
      <c r="H198" s="7" t="s">
        <v>100</v>
      </c>
    </row>
    <row r="199" spans="1:8" ht="17.399999999999999" x14ac:dyDescent="0.3">
      <c r="A199" s="2" t="s">
        <v>0</v>
      </c>
      <c r="B199" s="2" t="s">
        <v>1</v>
      </c>
      <c r="C199" s="2" t="s">
        <v>98</v>
      </c>
      <c r="D199" s="2" t="s">
        <v>99</v>
      </c>
      <c r="E199" s="2" t="s">
        <v>0</v>
      </c>
      <c r="F199" s="2" t="s">
        <v>1</v>
      </c>
      <c r="G199" s="2" t="s">
        <v>98</v>
      </c>
      <c r="H199" s="2" t="s">
        <v>99</v>
      </c>
    </row>
    <row r="200" spans="1:8" x14ac:dyDescent="0.3">
      <c r="A200" s="3">
        <v>46293</v>
      </c>
      <c r="B200" s="4" t="s">
        <v>122</v>
      </c>
      <c r="C200" s="4"/>
      <c r="D200" s="10">
        <v>1600</v>
      </c>
      <c r="E200" s="3">
        <v>46295</v>
      </c>
      <c r="F200" s="4" t="s">
        <v>105</v>
      </c>
      <c r="G200" s="4"/>
      <c r="H200" s="10">
        <v>1600</v>
      </c>
    </row>
    <row r="201" spans="1:8" x14ac:dyDescent="0.3">
      <c r="A201" s="3"/>
      <c r="B201" s="4"/>
      <c r="C201" s="4"/>
      <c r="D201" s="10"/>
      <c r="E201" s="3"/>
      <c r="F201" s="4"/>
      <c r="G201" s="4"/>
      <c r="H201" s="10"/>
    </row>
    <row r="202" spans="1:8" x14ac:dyDescent="0.3">
      <c r="A202" s="3"/>
      <c r="B202" s="4"/>
      <c r="C202" s="4"/>
      <c r="D202" s="8">
        <v>1600</v>
      </c>
      <c r="E202" s="13"/>
      <c r="F202" s="9"/>
      <c r="G202" s="9"/>
      <c r="H202" s="8">
        <v>1600</v>
      </c>
    </row>
    <row r="203" spans="1:8" x14ac:dyDescent="0.3">
      <c r="A203" s="3">
        <v>46296</v>
      </c>
      <c r="B203" s="4" t="s">
        <v>104</v>
      </c>
      <c r="C203" s="4"/>
      <c r="D203" s="8">
        <v>1600</v>
      </c>
      <c r="E203" s="13"/>
      <c r="F203" s="9"/>
      <c r="G203" s="9"/>
      <c r="H203" s="8"/>
    </row>
    <row r="204" spans="1:8" x14ac:dyDescent="0.3">
      <c r="D204" s="1"/>
      <c r="H204" s="1"/>
    </row>
    <row r="205" spans="1:8" x14ac:dyDescent="0.3">
      <c r="D205" s="1"/>
      <c r="H205" s="1"/>
    </row>
    <row r="206" spans="1:8" ht="20.399999999999999" x14ac:dyDescent="0.35">
      <c r="A206" s="6" t="s">
        <v>101</v>
      </c>
      <c r="B206" s="6"/>
      <c r="C206" s="52" t="s">
        <v>156</v>
      </c>
      <c r="D206" s="52"/>
      <c r="E206" s="52"/>
      <c r="F206" s="52"/>
      <c r="G206" s="6"/>
      <c r="H206" s="7" t="s">
        <v>100</v>
      </c>
    </row>
    <row r="207" spans="1:8" ht="17.399999999999999" x14ac:dyDescent="0.3">
      <c r="A207" s="2" t="s">
        <v>0</v>
      </c>
      <c r="B207" s="2" t="s">
        <v>1</v>
      </c>
      <c r="C207" s="2" t="s">
        <v>98</v>
      </c>
      <c r="D207" s="2" t="s">
        <v>99</v>
      </c>
      <c r="E207" s="2" t="s">
        <v>0</v>
      </c>
      <c r="F207" s="2" t="s">
        <v>1</v>
      </c>
      <c r="G207" s="2" t="s">
        <v>98</v>
      </c>
      <c r="H207" s="2" t="s">
        <v>99</v>
      </c>
    </row>
    <row r="208" spans="1:8" x14ac:dyDescent="0.3">
      <c r="A208" s="3">
        <v>46294</v>
      </c>
      <c r="B208" s="4" t="s">
        <v>131</v>
      </c>
      <c r="C208" s="4"/>
      <c r="D208" s="10">
        <v>400</v>
      </c>
      <c r="E208" s="3">
        <v>46295</v>
      </c>
      <c r="F208" s="4" t="s">
        <v>105</v>
      </c>
      <c r="G208" s="4"/>
      <c r="H208" s="10">
        <v>400</v>
      </c>
    </row>
    <row r="209" spans="1:8" x14ac:dyDescent="0.3">
      <c r="A209" s="3"/>
      <c r="B209" s="4"/>
      <c r="C209" s="4"/>
      <c r="D209" s="10"/>
      <c r="E209" s="3"/>
      <c r="F209" s="4"/>
      <c r="G209" s="4"/>
      <c r="H209" s="10"/>
    </row>
    <row r="210" spans="1:8" x14ac:dyDescent="0.3">
      <c r="A210" s="3"/>
      <c r="B210" s="4"/>
      <c r="C210" s="4"/>
      <c r="D210" s="8">
        <v>400</v>
      </c>
      <c r="E210" s="13"/>
      <c r="F210" s="9"/>
      <c r="G210" s="9"/>
      <c r="H210" s="8">
        <v>400</v>
      </c>
    </row>
    <row r="211" spans="1:8" x14ac:dyDescent="0.3">
      <c r="A211" s="3">
        <v>46296</v>
      </c>
      <c r="B211" s="4" t="s">
        <v>104</v>
      </c>
      <c r="C211" s="4"/>
      <c r="D211" s="8">
        <v>400</v>
      </c>
      <c r="E211" s="13"/>
      <c r="F211" s="9"/>
      <c r="G211" s="9"/>
      <c r="H211" s="8"/>
    </row>
    <row r="212" spans="1:8" x14ac:dyDescent="0.3">
      <c r="D212" s="1"/>
      <c r="H212" s="1"/>
    </row>
    <row r="213" spans="1:8" x14ac:dyDescent="0.3">
      <c r="D213" s="1"/>
      <c r="H213" s="1"/>
    </row>
    <row r="214" spans="1:8" ht="20.399999999999999" x14ac:dyDescent="0.35">
      <c r="A214" s="6" t="s">
        <v>101</v>
      </c>
      <c r="B214" s="6"/>
      <c r="C214" s="52" t="s">
        <v>157</v>
      </c>
      <c r="D214" s="52"/>
      <c r="E214" s="52"/>
      <c r="F214" s="52"/>
      <c r="G214" s="6"/>
      <c r="H214" s="7" t="s">
        <v>100</v>
      </c>
    </row>
    <row r="215" spans="1:8" ht="17.399999999999999" x14ac:dyDescent="0.3">
      <c r="A215" s="2" t="s">
        <v>0</v>
      </c>
      <c r="B215" s="2" t="s">
        <v>1</v>
      </c>
      <c r="C215" s="2" t="s">
        <v>98</v>
      </c>
      <c r="D215" s="2" t="s">
        <v>99</v>
      </c>
      <c r="E215" s="2" t="s">
        <v>0</v>
      </c>
      <c r="F215" s="2" t="s">
        <v>1</v>
      </c>
      <c r="G215" s="2" t="s">
        <v>98</v>
      </c>
      <c r="H215" s="2" t="s">
        <v>99</v>
      </c>
    </row>
    <row r="216" spans="1:8" x14ac:dyDescent="0.3">
      <c r="A216" s="3">
        <v>46295</v>
      </c>
      <c r="B216" s="4" t="s">
        <v>122</v>
      </c>
      <c r="C216" s="4"/>
      <c r="D216" s="10">
        <v>1300</v>
      </c>
      <c r="E216" s="3">
        <v>46295</v>
      </c>
      <c r="F216" s="4" t="s">
        <v>105</v>
      </c>
      <c r="G216" s="4"/>
      <c r="H216" s="10">
        <v>1300</v>
      </c>
    </row>
    <row r="217" spans="1:8" x14ac:dyDescent="0.3">
      <c r="A217" s="3"/>
      <c r="B217" s="4"/>
      <c r="C217" s="4"/>
      <c r="D217" s="10"/>
      <c r="E217" s="3"/>
      <c r="F217" s="4"/>
      <c r="G217" s="4"/>
      <c r="H217" s="10"/>
    </row>
    <row r="218" spans="1:8" x14ac:dyDescent="0.3">
      <c r="A218" s="3"/>
      <c r="B218" s="4"/>
      <c r="C218" s="4"/>
      <c r="D218" s="8">
        <v>1300</v>
      </c>
      <c r="E218" s="13"/>
      <c r="F218" s="9"/>
      <c r="G218" s="9"/>
      <c r="H218" s="8">
        <v>1300</v>
      </c>
    </row>
    <row r="219" spans="1:8" x14ac:dyDescent="0.3">
      <c r="A219" s="3">
        <v>46296</v>
      </c>
      <c r="B219" s="4" t="s">
        <v>104</v>
      </c>
      <c r="C219" s="4"/>
      <c r="D219" s="8">
        <v>1300</v>
      </c>
      <c r="E219" s="13"/>
      <c r="F219" s="9"/>
      <c r="G219" s="9"/>
      <c r="H219" s="8"/>
    </row>
    <row r="220" spans="1:8" x14ac:dyDescent="0.3">
      <c r="D220" s="1"/>
      <c r="H220" s="1"/>
    </row>
    <row r="221" spans="1:8" x14ac:dyDescent="0.3">
      <c r="D221" s="1"/>
      <c r="H221" s="1"/>
    </row>
    <row r="222" spans="1:8" ht="20.399999999999999" x14ac:dyDescent="0.35">
      <c r="A222" s="6" t="s">
        <v>101</v>
      </c>
      <c r="B222" s="6"/>
      <c r="C222" s="52" t="s">
        <v>158</v>
      </c>
      <c r="D222" s="52"/>
      <c r="E222" s="52"/>
      <c r="F222" s="52"/>
      <c r="G222" s="6"/>
      <c r="H222" s="7" t="s">
        <v>100</v>
      </c>
    </row>
    <row r="223" spans="1:8" ht="17.399999999999999" x14ac:dyDescent="0.3">
      <c r="A223" s="2" t="s">
        <v>0</v>
      </c>
      <c r="B223" s="2" t="s">
        <v>1</v>
      </c>
      <c r="C223" s="2" t="s">
        <v>98</v>
      </c>
      <c r="D223" s="2" t="s">
        <v>99</v>
      </c>
      <c r="E223" s="2" t="s">
        <v>0</v>
      </c>
      <c r="F223" s="2" t="s">
        <v>1</v>
      </c>
      <c r="G223" s="2" t="s">
        <v>98</v>
      </c>
      <c r="H223" s="2" t="s">
        <v>99</v>
      </c>
    </row>
    <row r="224" spans="1:8" x14ac:dyDescent="0.3">
      <c r="A224" s="3">
        <v>46295</v>
      </c>
      <c r="B224" s="4" t="s">
        <v>131</v>
      </c>
      <c r="C224" s="4"/>
      <c r="D224" s="10">
        <v>10000</v>
      </c>
      <c r="E224" s="3">
        <v>46295</v>
      </c>
      <c r="F224" s="4" t="s">
        <v>105</v>
      </c>
      <c r="G224" s="4"/>
      <c r="H224" s="10">
        <v>10000</v>
      </c>
    </row>
    <row r="225" spans="1:8" x14ac:dyDescent="0.3">
      <c r="A225" s="3"/>
      <c r="B225" s="4"/>
      <c r="C225" s="4"/>
      <c r="D225" s="10"/>
      <c r="E225" s="3"/>
      <c r="F225" s="4"/>
      <c r="G225" s="4"/>
      <c r="H225" s="10"/>
    </row>
    <row r="226" spans="1:8" x14ac:dyDescent="0.3">
      <c r="A226" s="3"/>
      <c r="B226" s="4"/>
      <c r="C226" s="4"/>
      <c r="D226" s="8">
        <v>10000</v>
      </c>
      <c r="E226" s="13"/>
      <c r="F226" s="9"/>
      <c r="G226" s="9"/>
      <c r="H226" s="8">
        <v>10000</v>
      </c>
    </row>
    <row r="227" spans="1:8" x14ac:dyDescent="0.3">
      <c r="A227" s="3">
        <v>46296</v>
      </c>
      <c r="B227" s="4" t="s">
        <v>104</v>
      </c>
      <c r="C227" s="4"/>
      <c r="D227" s="8">
        <v>10000</v>
      </c>
      <c r="E227" s="13"/>
      <c r="F227" s="9"/>
      <c r="G227" s="9"/>
      <c r="H227" s="8"/>
    </row>
    <row r="228" spans="1:8" x14ac:dyDescent="0.3">
      <c r="D228" s="1"/>
      <c r="H228" s="1"/>
    </row>
    <row r="229" spans="1:8" x14ac:dyDescent="0.3">
      <c r="D229" s="1"/>
      <c r="H229" s="1"/>
    </row>
    <row r="230" spans="1:8" x14ac:dyDescent="0.3">
      <c r="D230" s="1"/>
      <c r="H230" s="1"/>
    </row>
    <row r="231" spans="1:8" x14ac:dyDescent="0.3">
      <c r="D231" s="1"/>
      <c r="H231" s="1"/>
    </row>
    <row r="232" spans="1:8" x14ac:dyDescent="0.3">
      <c r="D232" s="1"/>
      <c r="H232" s="1"/>
    </row>
    <row r="233" spans="1:8" x14ac:dyDescent="0.3">
      <c r="D233" s="1"/>
      <c r="H233" s="1"/>
    </row>
    <row r="234" spans="1:8" x14ac:dyDescent="0.3">
      <c r="D234" s="1"/>
      <c r="H234" s="1"/>
    </row>
    <row r="235" spans="1:8" x14ac:dyDescent="0.3">
      <c r="D235" s="1"/>
      <c r="H235" s="1"/>
    </row>
    <row r="236" spans="1:8" x14ac:dyDescent="0.3">
      <c r="D236" s="1"/>
      <c r="H236" s="1"/>
    </row>
    <row r="237" spans="1:8" x14ac:dyDescent="0.3">
      <c r="D237" s="1"/>
      <c r="H237" s="1"/>
    </row>
    <row r="238" spans="1:8" x14ac:dyDescent="0.3">
      <c r="D238" s="1"/>
      <c r="H238" s="1"/>
    </row>
    <row r="239" spans="1:8" x14ac:dyDescent="0.3">
      <c r="D239" s="1"/>
      <c r="H239" s="1"/>
    </row>
    <row r="240" spans="1:8" x14ac:dyDescent="0.3">
      <c r="D240" s="1"/>
      <c r="H240" s="1"/>
    </row>
    <row r="241" spans="4:8" x14ac:dyDescent="0.3">
      <c r="D241" s="1"/>
      <c r="H241" s="1"/>
    </row>
    <row r="242" spans="4:8" x14ac:dyDescent="0.3">
      <c r="D242" s="1"/>
      <c r="H242" s="1"/>
    </row>
    <row r="243" spans="4:8" x14ac:dyDescent="0.3">
      <c r="D243" s="1"/>
      <c r="H243" s="1"/>
    </row>
    <row r="244" spans="4:8" x14ac:dyDescent="0.3">
      <c r="D244" s="1"/>
      <c r="H244" s="1"/>
    </row>
    <row r="245" spans="4:8" x14ac:dyDescent="0.3">
      <c r="D245" s="1"/>
      <c r="H245" s="1"/>
    </row>
    <row r="246" spans="4:8" x14ac:dyDescent="0.3">
      <c r="D246" s="1"/>
      <c r="H246" s="1"/>
    </row>
    <row r="247" spans="4:8" x14ac:dyDescent="0.3">
      <c r="D247" s="1"/>
      <c r="H247" s="1"/>
    </row>
    <row r="248" spans="4:8" x14ac:dyDescent="0.3">
      <c r="D248" s="1"/>
      <c r="H248" s="1"/>
    </row>
    <row r="249" spans="4:8" x14ac:dyDescent="0.3">
      <c r="D249" s="1"/>
      <c r="H249" s="1"/>
    </row>
    <row r="250" spans="4:8" x14ac:dyDescent="0.3">
      <c r="D250" s="1"/>
      <c r="H250" s="1"/>
    </row>
    <row r="251" spans="4:8" x14ac:dyDescent="0.3">
      <c r="D251" s="1"/>
      <c r="H251" s="1"/>
    </row>
    <row r="252" spans="4:8" x14ac:dyDescent="0.3">
      <c r="D252" s="1"/>
      <c r="H252" s="1"/>
    </row>
    <row r="253" spans="4:8" x14ac:dyDescent="0.3">
      <c r="D253" s="1"/>
      <c r="H253" s="1"/>
    </row>
    <row r="254" spans="4:8" x14ac:dyDescent="0.3">
      <c r="D254" s="1"/>
      <c r="H254" s="1"/>
    </row>
    <row r="255" spans="4:8" x14ac:dyDescent="0.3">
      <c r="D255" s="1"/>
      <c r="H255" s="1"/>
    </row>
    <row r="256" spans="4:8" x14ac:dyDescent="0.3">
      <c r="D256" s="1"/>
      <c r="H256" s="1"/>
    </row>
    <row r="257" spans="4:8" x14ac:dyDescent="0.3">
      <c r="D257" s="1"/>
      <c r="H257" s="1"/>
    </row>
    <row r="258" spans="4:8" x14ac:dyDescent="0.3">
      <c r="D258" s="1"/>
      <c r="H258" s="1"/>
    </row>
    <row r="259" spans="4:8" x14ac:dyDescent="0.3">
      <c r="D259" s="1"/>
      <c r="H259" s="1"/>
    </row>
    <row r="260" spans="4:8" x14ac:dyDescent="0.3">
      <c r="D260" s="1"/>
      <c r="H260" s="1"/>
    </row>
    <row r="261" spans="4:8" x14ac:dyDescent="0.3">
      <c r="D261" s="1"/>
      <c r="H261" s="1"/>
    </row>
    <row r="262" spans="4:8" x14ac:dyDescent="0.3">
      <c r="D262" s="1"/>
      <c r="H262" s="1"/>
    </row>
    <row r="263" spans="4:8" x14ac:dyDescent="0.3">
      <c r="D263" s="1"/>
      <c r="H263" s="1"/>
    </row>
    <row r="264" spans="4:8" x14ac:dyDescent="0.3">
      <c r="D264" s="1"/>
      <c r="H264" s="1"/>
    </row>
    <row r="265" spans="4:8" x14ac:dyDescent="0.3">
      <c r="D265" s="1"/>
      <c r="H265" s="1"/>
    </row>
    <row r="266" spans="4:8" x14ac:dyDescent="0.3">
      <c r="D266" s="1"/>
      <c r="H266" s="1"/>
    </row>
    <row r="267" spans="4:8" x14ac:dyDescent="0.3">
      <c r="D267" s="1"/>
      <c r="H267" s="1"/>
    </row>
    <row r="268" spans="4:8" x14ac:dyDescent="0.3">
      <c r="D268" s="1"/>
      <c r="H268" s="1"/>
    </row>
    <row r="269" spans="4:8" x14ac:dyDescent="0.3">
      <c r="D269" s="1"/>
      <c r="H269" s="1"/>
    </row>
    <row r="270" spans="4:8" x14ac:dyDescent="0.3">
      <c r="D270" s="1"/>
      <c r="H270" s="1"/>
    </row>
    <row r="271" spans="4:8" x14ac:dyDescent="0.3">
      <c r="D271" s="1"/>
      <c r="H271" s="1"/>
    </row>
    <row r="272" spans="4:8" x14ac:dyDescent="0.3">
      <c r="D272" s="1"/>
      <c r="H272" s="1"/>
    </row>
    <row r="273" spans="4:8" x14ac:dyDescent="0.3">
      <c r="D273" s="1"/>
      <c r="H273" s="1"/>
    </row>
    <row r="274" spans="4:8" x14ac:dyDescent="0.3">
      <c r="D274" s="1"/>
      <c r="H274" s="1"/>
    </row>
    <row r="275" spans="4:8" x14ac:dyDescent="0.3">
      <c r="D275" s="1"/>
      <c r="H275" s="1"/>
    </row>
    <row r="276" spans="4:8" x14ac:dyDescent="0.3">
      <c r="D276" s="1"/>
      <c r="H276" s="1"/>
    </row>
    <row r="277" spans="4:8" x14ac:dyDescent="0.3">
      <c r="D277" s="1"/>
      <c r="H277" s="1"/>
    </row>
    <row r="278" spans="4:8" x14ac:dyDescent="0.3">
      <c r="D278" s="1"/>
      <c r="H278" s="1"/>
    </row>
    <row r="279" spans="4:8" x14ac:dyDescent="0.3">
      <c r="D279" s="1"/>
      <c r="H279" s="1"/>
    </row>
    <row r="280" spans="4:8" x14ac:dyDescent="0.3">
      <c r="D280" s="1"/>
      <c r="H280" s="1"/>
    </row>
    <row r="281" spans="4:8" x14ac:dyDescent="0.3">
      <c r="D281" s="1"/>
      <c r="H281" s="1"/>
    </row>
    <row r="282" spans="4:8" x14ac:dyDescent="0.3">
      <c r="D282" s="1"/>
      <c r="H282" s="1"/>
    </row>
    <row r="283" spans="4:8" x14ac:dyDescent="0.3">
      <c r="D283" s="1"/>
      <c r="H283" s="1"/>
    </row>
    <row r="284" spans="4:8" x14ac:dyDescent="0.3">
      <c r="D284" s="1"/>
      <c r="H284" s="1"/>
    </row>
    <row r="285" spans="4:8" x14ac:dyDescent="0.3">
      <c r="D285" s="1"/>
      <c r="H285" s="1"/>
    </row>
    <row r="286" spans="4:8" x14ac:dyDescent="0.3">
      <c r="D286" s="1"/>
      <c r="H286" s="1"/>
    </row>
    <row r="287" spans="4:8" x14ac:dyDescent="0.3">
      <c r="D287" s="1"/>
      <c r="H287" s="1"/>
    </row>
    <row r="288" spans="4:8" x14ac:dyDescent="0.3">
      <c r="D288" s="1"/>
      <c r="H288" s="1"/>
    </row>
    <row r="289" spans="4:8" x14ac:dyDescent="0.3">
      <c r="D289" s="1"/>
      <c r="H289" s="1"/>
    </row>
    <row r="290" spans="4:8" x14ac:dyDescent="0.3">
      <c r="D290" s="1"/>
      <c r="H290" s="1"/>
    </row>
    <row r="291" spans="4:8" x14ac:dyDescent="0.3">
      <c r="D291" s="1"/>
      <c r="H291" s="1"/>
    </row>
    <row r="292" spans="4:8" x14ac:dyDescent="0.3">
      <c r="D292" s="1"/>
      <c r="H292" s="1"/>
    </row>
    <row r="293" spans="4:8" x14ac:dyDescent="0.3">
      <c r="D293" s="1"/>
      <c r="H293" s="1"/>
    </row>
    <row r="294" spans="4:8" x14ac:dyDescent="0.3">
      <c r="D294" s="1"/>
      <c r="H294" s="1"/>
    </row>
    <row r="295" spans="4:8" x14ac:dyDescent="0.3">
      <c r="D295" s="1"/>
      <c r="H295" s="1"/>
    </row>
    <row r="296" spans="4:8" x14ac:dyDescent="0.3">
      <c r="D296" s="1"/>
      <c r="H296" s="1"/>
    </row>
    <row r="297" spans="4:8" x14ac:dyDescent="0.3">
      <c r="D297" s="1"/>
      <c r="H297" s="1"/>
    </row>
    <row r="298" spans="4:8" x14ac:dyDescent="0.3">
      <c r="D298" s="1"/>
      <c r="H298" s="1"/>
    </row>
    <row r="299" spans="4:8" x14ac:dyDescent="0.3">
      <c r="D299" s="1"/>
      <c r="H299" s="1"/>
    </row>
    <row r="300" spans="4:8" x14ac:dyDescent="0.3">
      <c r="D300" s="1"/>
      <c r="H300" s="1"/>
    </row>
    <row r="301" spans="4:8" x14ac:dyDescent="0.3">
      <c r="D301" s="1"/>
      <c r="H301" s="1"/>
    </row>
    <row r="302" spans="4:8" x14ac:dyDescent="0.3">
      <c r="D302" s="1"/>
      <c r="H302" s="1"/>
    </row>
    <row r="303" spans="4:8" x14ac:dyDescent="0.3">
      <c r="D303" s="1"/>
      <c r="H303" s="1"/>
    </row>
    <row r="304" spans="4:8" x14ac:dyDescent="0.3">
      <c r="D304" s="1"/>
      <c r="H304" s="1"/>
    </row>
    <row r="305" spans="4:8" x14ac:dyDescent="0.3">
      <c r="D305" s="1"/>
      <c r="H305" s="1"/>
    </row>
    <row r="306" spans="4:8" x14ac:dyDescent="0.3">
      <c r="D306" s="1"/>
      <c r="H306" s="1"/>
    </row>
    <row r="307" spans="4:8" x14ac:dyDescent="0.3">
      <c r="D307" s="1"/>
      <c r="H307" s="1"/>
    </row>
    <row r="308" spans="4:8" x14ac:dyDescent="0.3">
      <c r="D308" s="1"/>
      <c r="H308" s="1"/>
    </row>
    <row r="309" spans="4:8" x14ac:dyDescent="0.3">
      <c r="D309" s="1"/>
      <c r="H309" s="1"/>
    </row>
    <row r="310" spans="4:8" x14ac:dyDescent="0.3">
      <c r="D310" s="1"/>
      <c r="H310" s="1"/>
    </row>
    <row r="311" spans="4:8" x14ac:dyDescent="0.3">
      <c r="D311" s="1"/>
      <c r="H311" s="1"/>
    </row>
    <row r="312" spans="4:8" x14ac:dyDescent="0.3">
      <c r="D312" s="1"/>
      <c r="H312" s="1"/>
    </row>
    <row r="313" spans="4:8" x14ac:dyDescent="0.3">
      <c r="D313" s="1"/>
      <c r="H313" s="1"/>
    </row>
    <row r="314" spans="4:8" x14ac:dyDescent="0.3">
      <c r="D314" s="1"/>
      <c r="H314" s="1"/>
    </row>
    <row r="315" spans="4:8" x14ac:dyDescent="0.3">
      <c r="D315" s="1"/>
      <c r="H315" s="1"/>
    </row>
    <row r="316" spans="4:8" x14ac:dyDescent="0.3">
      <c r="D316" s="1"/>
      <c r="H316" s="1"/>
    </row>
    <row r="317" spans="4:8" x14ac:dyDescent="0.3">
      <c r="D317" s="1"/>
      <c r="H317" s="1"/>
    </row>
    <row r="318" spans="4:8" x14ac:dyDescent="0.3">
      <c r="D318" s="1"/>
      <c r="H318" s="1"/>
    </row>
    <row r="319" spans="4:8" x14ac:dyDescent="0.3">
      <c r="D319" s="1"/>
      <c r="H319" s="1"/>
    </row>
    <row r="320" spans="4:8" x14ac:dyDescent="0.3">
      <c r="D320" s="1"/>
      <c r="H320" s="1"/>
    </row>
    <row r="321" spans="4:8" x14ac:dyDescent="0.3">
      <c r="D321" s="1"/>
      <c r="H321" s="1"/>
    </row>
    <row r="322" spans="4:8" x14ac:dyDescent="0.3">
      <c r="D322" s="1"/>
      <c r="H322" s="1"/>
    </row>
    <row r="323" spans="4:8" x14ac:dyDescent="0.3">
      <c r="D323" s="1"/>
      <c r="H323" s="1"/>
    </row>
    <row r="324" spans="4:8" x14ac:dyDescent="0.3">
      <c r="D324" s="1"/>
      <c r="H324" s="1"/>
    </row>
    <row r="325" spans="4:8" x14ac:dyDescent="0.3">
      <c r="D325" s="1"/>
      <c r="H325" s="1"/>
    </row>
    <row r="326" spans="4:8" x14ac:dyDescent="0.3">
      <c r="D326" s="1"/>
      <c r="H326" s="1"/>
    </row>
    <row r="327" spans="4:8" x14ac:dyDescent="0.3">
      <c r="D327" s="1"/>
      <c r="H327" s="1"/>
    </row>
    <row r="328" spans="4:8" x14ac:dyDescent="0.3">
      <c r="D328" s="1"/>
      <c r="H328" s="1"/>
    </row>
    <row r="329" spans="4:8" x14ac:dyDescent="0.3">
      <c r="D329" s="1"/>
      <c r="H329" s="1"/>
    </row>
    <row r="330" spans="4:8" x14ac:dyDescent="0.3">
      <c r="D330" s="1"/>
      <c r="H330" s="1"/>
    </row>
    <row r="331" spans="4:8" x14ac:dyDescent="0.3">
      <c r="D331" s="1"/>
      <c r="H331" s="1"/>
    </row>
    <row r="332" spans="4:8" x14ac:dyDescent="0.3">
      <c r="D332" s="1"/>
      <c r="H332" s="1"/>
    </row>
    <row r="333" spans="4:8" x14ac:dyDescent="0.3">
      <c r="H333" s="1"/>
    </row>
    <row r="334" spans="4:8" x14ac:dyDescent="0.3">
      <c r="H334" s="1"/>
    </row>
    <row r="335" spans="4:8" x14ac:dyDescent="0.3">
      <c r="H335" s="1"/>
    </row>
    <row r="336" spans="4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3" spans="8:8" x14ac:dyDescent="0.3">
      <c r="H353" s="1"/>
    </row>
    <row r="354" spans="8:8" x14ac:dyDescent="0.3">
      <c r="H354" s="1"/>
    </row>
    <row r="355" spans="8:8" x14ac:dyDescent="0.3">
      <c r="H355" s="1"/>
    </row>
    <row r="356" spans="8:8" x14ac:dyDescent="0.3">
      <c r="H356" s="1"/>
    </row>
    <row r="357" spans="8:8" x14ac:dyDescent="0.3">
      <c r="H357" s="1"/>
    </row>
    <row r="358" spans="8:8" x14ac:dyDescent="0.3">
      <c r="H358" s="1"/>
    </row>
    <row r="359" spans="8:8" x14ac:dyDescent="0.3">
      <c r="H359" s="1"/>
    </row>
    <row r="360" spans="8:8" x14ac:dyDescent="0.3">
      <c r="H360" s="1"/>
    </row>
    <row r="361" spans="8:8" x14ac:dyDescent="0.3">
      <c r="H361" s="1"/>
    </row>
    <row r="362" spans="8:8" x14ac:dyDescent="0.3">
      <c r="H362" s="1"/>
    </row>
    <row r="363" spans="8:8" x14ac:dyDescent="0.3">
      <c r="H363" s="1"/>
    </row>
    <row r="364" spans="8:8" x14ac:dyDescent="0.3">
      <c r="H364" s="1"/>
    </row>
    <row r="365" spans="8:8" x14ac:dyDescent="0.3">
      <c r="H365" s="1"/>
    </row>
    <row r="366" spans="8:8" x14ac:dyDescent="0.3">
      <c r="H366" s="1"/>
    </row>
    <row r="367" spans="8:8" x14ac:dyDescent="0.3">
      <c r="H367" s="1"/>
    </row>
    <row r="368" spans="8:8" x14ac:dyDescent="0.3">
      <c r="H368" s="1"/>
    </row>
    <row r="369" spans="8:8" x14ac:dyDescent="0.3">
      <c r="H369" s="1"/>
    </row>
    <row r="370" spans="8:8" x14ac:dyDescent="0.3">
      <c r="H370" s="1"/>
    </row>
    <row r="371" spans="8:8" x14ac:dyDescent="0.3">
      <c r="H371" s="1"/>
    </row>
    <row r="372" spans="8:8" x14ac:dyDescent="0.3">
      <c r="H372" s="1"/>
    </row>
    <row r="373" spans="8:8" x14ac:dyDescent="0.3">
      <c r="H373" s="1"/>
    </row>
    <row r="374" spans="8:8" x14ac:dyDescent="0.3">
      <c r="H374" s="1"/>
    </row>
    <row r="375" spans="8:8" x14ac:dyDescent="0.3">
      <c r="H375" s="1"/>
    </row>
    <row r="376" spans="8:8" x14ac:dyDescent="0.3">
      <c r="H376" s="1"/>
    </row>
    <row r="377" spans="8:8" x14ac:dyDescent="0.3">
      <c r="H377" s="1"/>
    </row>
  </sheetData>
  <mergeCells count="26">
    <mergeCell ref="C214:F214"/>
    <mergeCell ref="C222:F222"/>
    <mergeCell ref="C174:F174"/>
    <mergeCell ref="C182:F182"/>
    <mergeCell ref="C190:F190"/>
    <mergeCell ref="C198:F198"/>
    <mergeCell ref="C206:F206"/>
    <mergeCell ref="C134:F134"/>
    <mergeCell ref="C142:F142"/>
    <mergeCell ref="C150:F150"/>
    <mergeCell ref="C158:F158"/>
    <mergeCell ref="C166:F166"/>
    <mergeCell ref="C89:F89"/>
    <mergeCell ref="C99:F99"/>
    <mergeCell ref="C107:F107"/>
    <mergeCell ref="C118:F118"/>
    <mergeCell ref="C126:F126"/>
    <mergeCell ref="C52:F52"/>
    <mergeCell ref="C60:F60"/>
    <mergeCell ref="C68:F68"/>
    <mergeCell ref="C78:F78"/>
    <mergeCell ref="A1:H1"/>
    <mergeCell ref="C3:F3"/>
    <mergeCell ref="C11:F11"/>
    <mergeCell ref="C30:F30"/>
    <mergeCell ref="C44:F44"/>
  </mergeCells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AF9C-18D2-4534-84DA-FDBA89709EFE}">
  <dimension ref="A1:H29"/>
  <sheetViews>
    <sheetView workbookViewId="0">
      <selection activeCell="D23" sqref="D23"/>
    </sheetView>
  </sheetViews>
  <sheetFormatPr defaultRowHeight="14.4" x14ac:dyDescent="0.3"/>
  <cols>
    <col min="1" max="1" width="8.5546875" customWidth="1"/>
    <col min="2" max="2" width="33" customWidth="1"/>
    <col min="3" max="4" width="23.5546875" customWidth="1"/>
  </cols>
  <sheetData>
    <row r="1" spans="1:8" ht="50.4" customHeight="1" x14ac:dyDescent="0.35">
      <c r="A1" s="51" t="s">
        <v>160</v>
      </c>
      <c r="B1" s="51"/>
      <c r="C1" s="51"/>
      <c r="D1" s="51"/>
      <c r="E1" s="16"/>
      <c r="F1" s="16"/>
      <c r="G1" s="16"/>
      <c r="H1" s="16"/>
    </row>
    <row r="3" spans="1:8" ht="17.399999999999999" x14ac:dyDescent="0.3">
      <c r="A3" s="2" t="s">
        <v>159</v>
      </c>
      <c r="B3" s="2" t="s">
        <v>1</v>
      </c>
      <c r="C3" s="2" t="s">
        <v>3</v>
      </c>
      <c r="D3" s="2" t="s">
        <v>4</v>
      </c>
    </row>
    <row r="4" spans="1:8" x14ac:dyDescent="0.3">
      <c r="A4" s="4">
        <v>1</v>
      </c>
      <c r="B4" s="4" t="s">
        <v>5</v>
      </c>
      <c r="C4" s="5">
        <v>52900</v>
      </c>
      <c r="D4" s="5"/>
    </row>
    <row r="5" spans="1:8" x14ac:dyDescent="0.3">
      <c r="A5" s="4">
        <v>2</v>
      </c>
      <c r="B5" s="4" t="s">
        <v>12</v>
      </c>
      <c r="C5" s="5">
        <v>34100</v>
      </c>
      <c r="D5" s="5"/>
    </row>
    <row r="6" spans="1:8" x14ac:dyDescent="0.3">
      <c r="A6" s="4">
        <v>3</v>
      </c>
      <c r="B6" s="4" t="s">
        <v>11</v>
      </c>
      <c r="C6" s="5">
        <v>25000</v>
      </c>
      <c r="D6" s="5"/>
    </row>
    <row r="7" spans="1:8" x14ac:dyDescent="0.3">
      <c r="A7" s="4">
        <v>4</v>
      </c>
      <c r="B7" s="4" t="s">
        <v>15</v>
      </c>
      <c r="C7" s="5">
        <v>8000</v>
      </c>
      <c r="D7" s="5"/>
    </row>
    <row r="8" spans="1:8" x14ac:dyDescent="0.3">
      <c r="A8" s="4">
        <v>5</v>
      </c>
      <c r="B8" s="4" t="s">
        <v>17</v>
      </c>
      <c r="C8" s="5">
        <v>41000</v>
      </c>
      <c r="D8" s="5"/>
    </row>
    <row r="9" spans="1:8" x14ac:dyDescent="0.3">
      <c r="A9" s="4">
        <v>6</v>
      </c>
      <c r="B9" s="4" t="s">
        <v>162</v>
      </c>
      <c r="C9" s="5">
        <v>1200</v>
      </c>
      <c r="D9" s="5"/>
    </row>
    <row r="10" spans="1:8" x14ac:dyDescent="0.3">
      <c r="A10" s="4">
        <v>7</v>
      </c>
      <c r="B10" s="4" t="s">
        <v>25</v>
      </c>
      <c r="C10" s="5">
        <v>12000</v>
      </c>
      <c r="D10" s="5"/>
    </row>
    <row r="11" spans="1:8" x14ac:dyDescent="0.3">
      <c r="A11" s="4">
        <v>8</v>
      </c>
      <c r="B11" s="4" t="s">
        <v>163</v>
      </c>
      <c r="C11" s="5">
        <v>1500</v>
      </c>
      <c r="D11" s="5"/>
    </row>
    <row r="12" spans="1:8" x14ac:dyDescent="0.3">
      <c r="A12" s="4">
        <v>9</v>
      </c>
      <c r="B12" s="4" t="s">
        <v>164</v>
      </c>
      <c r="C12" s="5">
        <v>2000</v>
      </c>
      <c r="D12" s="5"/>
    </row>
    <row r="13" spans="1:8" x14ac:dyDescent="0.3">
      <c r="A13" s="4">
        <v>10</v>
      </c>
      <c r="B13" s="4" t="s">
        <v>34</v>
      </c>
      <c r="C13" s="5">
        <v>900</v>
      </c>
      <c r="D13" s="5"/>
    </row>
    <row r="14" spans="1:8" x14ac:dyDescent="0.3">
      <c r="A14" s="4">
        <v>11</v>
      </c>
      <c r="B14" s="4" t="s">
        <v>41</v>
      </c>
      <c r="C14" s="5">
        <v>3500</v>
      </c>
      <c r="D14" s="5"/>
    </row>
    <row r="15" spans="1:8" x14ac:dyDescent="0.3">
      <c r="A15" s="4">
        <v>12</v>
      </c>
      <c r="B15" s="4" t="s">
        <v>43</v>
      </c>
      <c r="C15" s="5">
        <v>4800</v>
      </c>
      <c r="D15" s="5"/>
    </row>
    <row r="16" spans="1:8" x14ac:dyDescent="0.3">
      <c r="A16" s="4">
        <v>13</v>
      </c>
      <c r="B16" s="4" t="s">
        <v>165</v>
      </c>
      <c r="C16" s="5">
        <v>3000</v>
      </c>
      <c r="D16" s="5"/>
    </row>
    <row r="17" spans="1:4" x14ac:dyDescent="0.3">
      <c r="A17" s="4">
        <v>14</v>
      </c>
      <c r="B17" s="4" t="s">
        <v>51</v>
      </c>
      <c r="C17" s="5">
        <v>4000</v>
      </c>
      <c r="D17" s="5"/>
    </row>
    <row r="18" spans="1:4" x14ac:dyDescent="0.3">
      <c r="A18" s="4">
        <v>15</v>
      </c>
      <c r="B18" s="4" t="s">
        <v>167</v>
      </c>
      <c r="C18" s="5">
        <v>1100</v>
      </c>
      <c r="D18" s="5"/>
    </row>
    <row r="19" spans="1:4" x14ac:dyDescent="0.3">
      <c r="A19" s="4">
        <v>16</v>
      </c>
      <c r="B19" s="4" t="s">
        <v>118</v>
      </c>
      <c r="C19" s="5">
        <v>1600</v>
      </c>
      <c r="D19" s="5"/>
    </row>
    <row r="20" spans="1:4" x14ac:dyDescent="0.3">
      <c r="A20" s="4">
        <v>17</v>
      </c>
      <c r="B20" s="4" t="s">
        <v>61</v>
      </c>
      <c r="C20" s="5">
        <v>400</v>
      </c>
      <c r="D20" s="5"/>
    </row>
    <row r="21" spans="1:4" x14ac:dyDescent="0.3">
      <c r="A21" s="4">
        <v>18</v>
      </c>
      <c r="B21" s="4" t="s">
        <v>168</v>
      </c>
      <c r="C21" s="5">
        <v>1300</v>
      </c>
      <c r="D21" s="5"/>
    </row>
    <row r="22" spans="1:4" x14ac:dyDescent="0.3">
      <c r="A22" s="4">
        <v>19</v>
      </c>
      <c r="B22" s="4" t="s">
        <v>59</v>
      </c>
      <c r="C22" s="5">
        <v>10000</v>
      </c>
      <c r="D22" s="5"/>
    </row>
    <row r="23" spans="1:4" x14ac:dyDescent="0.3">
      <c r="A23" s="4">
        <v>20</v>
      </c>
      <c r="B23" s="4" t="s">
        <v>169</v>
      </c>
      <c r="C23" s="5"/>
      <c r="D23" s="5">
        <v>100000</v>
      </c>
    </row>
    <row r="24" spans="1:4" x14ac:dyDescent="0.3">
      <c r="A24" s="4">
        <v>21</v>
      </c>
      <c r="B24" s="4" t="s">
        <v>170</v>
      </c>
      <c r="C24" s="5"/>
      <c r="D24" s="5">
        <v>15000</v>
      </c>
    </row>
    <row r="25" spans="1:4" x14ac:dyDescent="0.3">
      <c r="A25" s="4">
        <v>22</v>
      </c>
      <c r="B25" s="4" t="s">
        <v>171</v>
      </c>
      <c r="C25" s="5"/>
      <c r="D25" s="5">
        <v>71500</v>
      </c>
    </row>
    <row r="26" spans="1:4" x14ac:dyDescent="0.3">
      <c r="A26" s="4">
        <v>23</v>
      </c>
      <c r="B26" s="4" t="s">
        <v>28</v>
      </c>
      <c r="C26" s="5"/>
      <c r="D26" s="5">
        <v>19000</v>
      </c>
    </row>
    <row r="27" spans="1:4" x14ac:dyDescent="0.3">
      <c r="A27" s="4">
        <v>24</v>
      </c>
      <c r="B27" s="4" t="s">
        <v>172</v>
      </c>
      <c r="C27" s="5"/>
      <c r="D27" s="5">
        <v>1000</v>
      </c>
    </row>
    <row r="28" spans="1:4" x14ac:dyDescent="0.3">
      <c r="A28" s="4">
        <v>25</v>
      </c>
      <c r="B28" s="4" t="s">
        <v>166</v>
      </c>
      <c r="C28" s="4"/>
      <c r="D28" s="5">
        <v>1800</v>
      </c>
    </row>
    <row r="29" spans="1:4" x14ac:dyDescent="0.3">
      <c r="A29" s="4"/>
      <c r="B29" s="4"/>
      <c r="C29" s="8">
        <f>SUM(C4:C27)</f>
        <v>208300</v>
      </c>
      <c r="D29" s="8">
        <f>SUM(D23:D28)</f>
        <v>208300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CF9E-9A08-46D0-BB79-C6BB064FA7A8}">
  <dimension ref="A1:F17"/>
  <sheetViews>
    <sheetView workbookViewId="0">
      <selection activeCell="D19" sqref="D19"/>
    </sheetView>
  </sheetViews>
  <sheetFormatPr defaultRowHeight="14.4" x14ac:dyDescent="0.3"/>
  <cols>
    <col min="1" max="6" width="24.109375" customWidth="1"/>
  </cols>
  <sheetData>
    <row r="1" spans="1:6" ht="48.6" customHeight="1" x14ac:dyDescent="0.35">
      <c r="A1" s="51" t="s">
        <v>177</v>
      </c>
      <c r="B1" s="51"/>
      <c r="C1" s="51"/>
      <c r="D1" s="51"/>
      <c r="E1" s="51"/>
      <c r="F1" s="51"/>
    </row>
    <row r="2" spans="1:6" ht="17.399999999999999" x14ac:dyDescent="0.3">
      <c r="A2" s="6" t="s">
        <v>101</v>
      </c>
      <c r="B2" s="6"/>
      <c r="C2" s="6"/>
      <c r="D2" s="6"/>
      <c r="E2" s="6"/>
      <c r="F2" s="7" t="s">
        <v>100</v>
      </c>
    </row>
    <row r="3" spans="1:6" ht="17.399999999999999" x14ac:dyDescent="0.3">
      <c r="A3" s="2" t="s">
        <v>176</v>
      </c>
      <c r="B3" s="2" t="s">
        <v>99</v>
      </c>
      <c r="C3" s="2" t="s">
        <v>99</v>
      </c>
      <c r="D3" s="2" t="s">
        <v>176</v>
      </c>
      <c r="E3" s="2" t="s">
        <v>99</v>
      </c>
      <c r="F3" s="2" t="s">
        <v>99</v>
      </c>
    </row>
    <row r="4" spans="1:6" x14ac:dyDescent="0.3">
      <c r="A4" s="4" t="s">
        <v>178</v>
      </c>
      <c r="B4" s="5"/>
      <c r="C4" s="5" t="s">
        <v>179</v>
      </c>
      <c r="D4" s="4" t="s">
        <v>185</v>
      </c>
      <c r="E4" s="5">
        <v>71500</v>
      </c>
      <c r="F4" s="5"/>
    </row>
    <row r="5" spans="1:6" ht="15" thickBot="1" x14ac:dyDescent="0.35">
      <c r="A5" s="4" t="s">
        <v>180</v>
      </c>
      <c r="B5" s="5">
        <v>41000</v>
      </c>
      <c r="C5" s="5"/>
      <c r="D5" s="4" t="s">
        <v>186</v>
      </c>
      <c r="E5" s="44">
        <v>2000</v>
      </c>
      <c r="F5" s="5">
        <v>69500</v>
      </c>
    </row>
    <row r="6" spans="1:6" ht="15" thickBot="1" x14ac:dyDescent="0.35">
      <c r="A6" s="4" t="s">
        <v>181</v>
      </c>
      <c r="B6" s="44">
        <v>1000</v>
      </c>
      <c r="C6" s="5">
        <v>40000</v>
      </c>
      <c r="D6" s="4" t="s">
        <v>187</v>
      </c>
      <c r="E6" s="43"/>
      <c r="F6" s="5">
        <v>24000</v>
      </c>
    </row>
    <row r="7" spans="1:6" x14ac:dyDescent="0.3">
      <c r="A7" s="4" t="s">
        <v>182</v>
      </c>
      <c r="B7" s="43"/>
      <c r="C7" s="5"/>
      <c r="D7" s="4"/>
      <c r="E7" s="5"/>
      <c r="F7" s="5"/>
    </row>
    <row r="8" spans="1:6" x14ac:dyDescent="0.3">
      <c r="A8" s="4" t="s">
        <v>183</v>
      </c>
      <c r="B8" s="5">
        <v>1200</v>
      </c>
      <c r="C8" s="5"/>
      <c r="D8" s="4"/>
      <c r="E8" s="5"/>
      <c r="F8" s="5"/>
    </row>
    <row r="9" spans="1:6" x14ac:dyDescent="0.3">
      <c r="A9" s="4" t="s">
        <v>184</v>
      </c>
      <c r="B9" s="5">
        <v>4800</v>
      </c>
      <c r="C9" s="5"/>
      <c r="D9" s="4"/>
      <c r="E9" s="5"/>
      <c r="F9" s="5"/>
    </row>
    <row r="10" spans="1:6" ht="15" thickBot="1" x14ac:dyDescent="0.35">
      <c r="A10" s="4" t="s">
        <v>35</v>
      </c>
      <c r="B10" s="44">
        <v>1500</v>
      </c>
      <c r="C10" s="5">
        <v>7500</v>
      </c>
      <c r="D10" s="4"/>
      <c r="E10" s="5"/>
      <c r="F10" s="5"/>
    </row>
    <row r="11" spans="1:6" x14ac:dyDescent="0.3">
      <c r="A11" s="4" t="s">
        <v>188</v>
      </c>
      <c r="B11" s="43"/>
      <c r="C11" s="8">
        <f>93500-47500</f>
        <v>46000</v>
      </c>
      <c r="D11" s="4"/>
      <c r="E11" s="5"/>
      <c r="F11" s="5"/>
    </row>
    <row r="12" spans="1:6" x14ac:dyDescent="0.3">
      <c r="A12" s="4"/>
      <c r="B12" s="5"/>
      <c r="C12" s="8">
        <v>93500</v>
      </c>
      <c r="D12" s="9"/>
      <c r="E12" s="8"/>
      <c r="F12" s="8">
        <f>SUM(F5:F6)</f>
        <v>93500</v>
      </c>
    </row>
    <row r="13" spans="1:6" x14ac:dyDescent="0.3">
      <c r="B13" s="1"/>
      <c r="C13" s="1"/>
      <c r="E13" s="1"/>
      <c r="F13" s="1"/>
    </row>
    <row r="14" spans="1:6" x14ac:dyDescent="0.3">
      <c r="B14" s="1"/>
      <c r="C14" s="1"/>
      <c r="E14" s="1"/>
      <c r="F14" s="1"/>
    </row>
    <row r="15" spans="1:6" x14ac:dyDescent="0.3">
      <c r="B15" s="1"/>
      <c r="C15" s="1"/>
      <c r="E15" s="1"/>
      <c r="F15" s="1"/>
    </row>
    <row r="16" spans="1:6" x14ac:dyDescent="0.3">
      <c r="B16" s="1"/>
      <c r="C16" s="1"/>
      <c r="E16" s="1"/>
      <c r="F16" s="1"/>
    </row>
    <row r="17" spans="2:6" x14ac:dyDescent="0.3">
      <c r="B17" s="1"/>
      <c r="C17" s="1"/>
      <c r="E17" s="1"/>
      <c r="F17" s="1"/>
    </row>
  </sheetData>
  <mergeCells count="1">
    <mergeCell ref="A1:F1"/>
  </mergeCells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8793-D637-4675-B8D4-E2B9EC531994}">
  <dimension ref="A1:G23"/>
  <sheetViews>
    <sheetView workbookViewId="0">
      <selection activeCell="B19" sqref="B19"/>
    </sheetView>
  </sheetViews>
  <sheetFormatPr defaultRowHeight="14.4" x14ac:dyDescent="0.3"/>
  <cols>
    <col min="1" max="1" width="26.109375" bestFit="1" customWidth="1"/>
    <col min="2" max="3" width="22.109375" customWidth="1"/>
    <col min="4" max="4" width="24.33203125" bestFit="1" customWidth="1"/>
    <col min="5" max="6" width="22.109375" customWidth="1"/>
    <col min="8" max="8" width="14.77734375" bestFit="1" customWidth="1"/>
  </cols>
  <sheetData>
    <row r="1" spans="1:6" ht="41.4" customHeight="1" x14ac:dyDescent="0.35">
      <c r="A1" s="51" t="s">
        <v>177</v>
      </c>
      <c r="B1" s="51"/>
      <c r="C1" s="51"/>
      <c r="D1" s="51"/>
      <c r="E1" s="51"/>
      <c r="F1" s="51"/>
    </row>
    <row r="2" spans="1:6" ht="17.399999999999999" x14ac:dyDescent="0.3">
      <c r="A2" s="6" t="s">
        <v>101</v>
      </c>
      <c r="B2" s="6"/>
      <c r="C2" s="6"/>
      <c r="D2" s="6"/>
      <c r="E2" s="6"/>
      <c r="F2" s="7" t="s">
        <v>100</v>
      </c>
    </row>
    <row r="3" spans="1:6" ht="17.399999999999999" x14ac:dyDescent="0.3">
      <c r="A3" s="2" t="s">
        <v>176</v>
      </c>
      <c r="B3" s="2" t="s">
        <v>99</v>
      </c>
      <c r="C3" s="2" t="s">
        <v>99</v>
      </c>
      <c r="D3" s="2" t="s">
        <v>176</v>
      </c>
      <c r="E3" s="2" t="s">
        <v>99</v>
      </c>
      <c r="F3" s="2" t="s">
        <v>99</v>
      </c>
    </row>
    <row r="4" spans="1:6" x14ac:dyDescent="0.3">
      <c r="A4" s="4" t="s">
        <v>189</v>
      </c>
      <c r="B4" s="10"/>
      <c r="C4" s="10">
        <v>900</v>
      </c>
      <c r="D4" s="4" t="s">
        <v>199</v>
      </c>
      <c r="E4" s="10"/>
      <c r="F4" s="10">
        <v>46000</v>
      </c>
    </row>
    <row r="5" spans="1:6" x14ac:dyDescent="0.3">
      <c r="A5" s="4" t="s">
        <v>190</v>
      </c>
      <c r="B5" s="4"/>
      <c r="C5" s="5">
        <v>3000</v>
      </c>
      <c r="D5" s="4" t="s">
        <v>200</v>
      </c>
      <c r="E5" s="10"/>
      <c r="F5" s="10">
        <v>1800</v>
      </c>
    </row>
    <row r="6" spans="1:6" x14ac:dyDescent="0.3">
      <c r="A6" s="4" t="s">
        <v>191</v>
      </c>
      <c r="B6" s="4"/>
      <c r="C6" s="5">
        <v>4000</v>
      </c>
      <c r="D6" s="4"/>
      <c r="E6" s="10"/>
      <c r="F6" s="10"/>
    </row>
    <row r="7" spans="1:6" x14ac:dyDescent="0.3">
      <c r="A7" s="4" t="s">
        <v>192</v>
      </c>
      <c r="B7" s="4"/>
      <c r="C7" s="5">
        <v>1100</v>
      </c>
      <c r="D7" s="4"/>
      <c r="E7" s="10"/>
      <c r="F7" s="10"/>
    </row>
    <row r="8" spans="1:6" x14ac:dyDescent="0.3">
      <c r="A8" s="4" t="s">
        <v>193</v>
      </c>
      <c r="B8" s="4"/>
      <c r="C8" s="5">
        <v>1600</v>
      </c>
      <c r="D8" s="4"/>
      <c r="E8" s="10"/>
      <c r="F8" s="10"/>
    </row>
    <row r="9" spans="1:6" x14ac:dyDescent="0.3">
      <c r="A9" s="4" t="s">
        <v>194</v>
      </c>
      <c r="B9" s="4"/>
      <c r="C9" s="5">
        <v>400</v>
      </c>
      <c r="D9" s="4"/>
      <c r="E9" s="10"/>
      <c r="F9" s="10"/>
    </row>
    <row r="10" spans="1:6" x14ac:dyDescent="0.3">
      <c r="A10" s="4" t="s">
        <v>195</v>
      </c>
      <c r="B10" s="4"/>
      <c r="C10" s="5">
        <v>1300</v>
      </c>
      <c r="D10" s="4"/>
      <c r="E10" s="10"/>
      <c r="F10" s="10"/>
    </row>
    <row r="11" spans="1:6" x14ac:dyDescent="0.3">
      <c r="A11" s="4" t="s">
        <v>196</v>
      </c>
      <c r="B11" s="5">
        <v>10000</v>
      </c>
      <c r="C11" s="4"/>
      <c r="D11" s="4"/>
      <c r="E11" s="10"/>
      <c r="F11" s="10"/>
    </row>
    <row r="12" spans="1:6" ht="15" thickBot="1" x14ac:dyDescent="0.35">
      <c r="A12" s="4" t="s">
        <v>197</v>
      </c>
      <c r="B12" s="47">
        <v>1500</v>
      </c>
      <c r="C12" s="20">
        <v>11500</v>
      </c>
      <c r="D12" s="4"/>
      <c r="E12" s="4"/>
      <c r="F12" s="4"/>
    </row>
    <row r="13" spans="1:6" x14ac:dyDescent="0.3">
      <c r="A13" s="4" t="s">
        <v>198</v>
      </c>
      <c r="B13" s="46"/>
      <c r="C13" s="20">
        <v>3000</v>
      </c>
      <c r="D13" s="4"/>
      <c r="E13" s="4"/>
      <c r="F13" s="4"/>
    </row>
    <row r="14" spans="1:6" x14ac:dyDescent="0.3">
      <c r="A14" s="4" t="s">
        <v>201</v>
      </c>
      <c r="B14" s="4"/>
      <c r="C14" s="8">
        <f>47800-26800</f>
        <v>21000</v>
      </c>
      <c r="D14" s="4"/>
      <c r="E14" s="4"/>
      <c r="F14" s="4"/>
    </row>
    <row r="15" spans="1:6" x14ac:dyDescent="0.3">
      <c r="A15" s="4"/>
      <c r="B15" s="4"/>
      <c r="C15" s="4"/>
      <c r="D15" s="9"/>
      <c r="E15" s="9"/>
      <c r="F15" s="9"/>
    </row>
    <row r="16" spans="1:6" x14ac:dyDescent="0.3">
      <c r="A16" s="4"/>
      <c r="B16" s="4"/>
      <c r="C16" s="9"/>
      <c r="D16" s="9"/>
      <c r="E16" s="9"/>
      <c r="F16" s="9"/>
    </row>
    <row r="17" spans="1:7" x14ac:dyDescent="0.3">
      <c r="A17" s="4"/>
      <c r="B17" s="4"/>
      <c r="C17" s="11">
        <f>SUM(C4:C14)</f>
        <v>47800</v>
      </c>
      <c r="D17" s="9"/>
      <c r="E17" s="9"/>
      <c r="F17" s="11">
        <f>SUM(F4:F15)</f>
        <v>47800</v>
      </c>
    </row>
    <row r="20" spans="1:7" ht="17.399999999999999" x14ac:dyDescent="0.3">
      <c r="F20" s="2" t="s">
        <v>274</v>
      </c>
      <c r="G20" s="4"/>
    </row>
    <row r="21" spans="1:7" x14ac:dyDescent="0.3">
      <c r="F21" s="4" t="s">
        <v>212</v>
      </c>
      <c r="G21" s="4">
        <v>25000</v>
      </c>
    </row>
    <row r="22" spans="1:7" ht="28.8" x14ac:dyDescent="0.3">
      <c r="F22" s="45" t="s">
        <v>275</v>
      </c>
      <c r="G22" s="4">
        <v>3000</v>
      </c>
    </row>
    <row r="23" spans="1:7" x14ac:dyDescent="0.3">
      <c r="F23" s="4"/>
      <c r="G23" s="4">
        <v>22000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4245-2D28-444A-A44B-4616A7C74D8F}">
  <dimension ref="A1:H17"/>
  <sheetViews>
    <sheetView workbookViewId="0">
      <selection activeCell="G1" sqref="G1"/>
    </sheetView>
  </sheetViews>
  <sheetFormatPr defaultRowHeight="14.4" x14ac:dyDescent="0.3"/>
  <cols>
    <col min="1" max="1" width="26.109375" bestFit="1" customWidth="1"/>
    <col min="2" max="3" width="21.21875" customWidth="1"/>
    <col min="4" max="4" width="24.33203125" bestFit="1" customWidth="1"/>
    <col min="5" max="6" width="21.21875" customWidth="1"/>
  </cols>
  <sheetData>
    <row r="1" spans="1:8" ht="42" customHeight="1" x14ac:dyDescent="0.35">
      <c r="A1" s="53" t="s">
        <v>273</v>
      </c>
      <c r="B1" s="53"/>
      <c r="C1" s="53"/>
      <c r="D1" s="53"/>
      <c r="E1" s="53"/>
      <c r="F1" s="53"/>
    </row>
    <row r="2" spans="1:8" ht="17.399999999999999" x14ac:dyDescent="0.3">
      <c r="A2" s="54" t="s">
        <v>101</v>
      </c>
      <c r="B2" s="54"/>
      <c r="C2" s="54"/>
      <c r="D2" s="54"/>
      <c r="E2" s="54"/>
      <c r="F2" s="55" t="s">
        <v>100</v>
      </c>
    </row>
    <row r="3" spans="1:8" ht="17.399999999999999" x14ac:dyDescent="0.3">
      <c r="A3" s="2" t="s">
        <v>203</v>
      </c>
      <c r="B3" s="2" t="s">
        <v>99</v>
      </c>
      <c r="C3" s="2" t="s">
        <v>99</v>
      </c>
      <c r="D3" s="2" t="s">
        <v>202</v>
      </c>
      <c r="E3" s="2" t="s">
        <v>99</v>
      </c>
      <c r="F3" s="2" t="s">
        <v>99</v>
      </c>
    </row>
    <row r="4" spans="1:8" x14ac:dyDescent="0.3">
      <c r="A4" s="4" t="s">
        <v>204</v>
      </c>
      <c r="B4" s="10">
        <v>100000</v>
      </c>
      <c r="C4" s="10"/>
      <c r="D4" s="21" t="s">
        <v>210</v>
      </c>
      <c r="E4" s="10"/>
      <c r="F4" s="10">
        <v>52900</v>
      </c>
    </row>
    <row r="5" spans="1:8" x14ac:dyDescent="0.3">
      <c r="A5" s="4" t="s">
        <v>205</v>
      </c>
      <c r="B5" s="10">
        <v>21000</v>
      </c>
      <c r="C5" s="10"/>
      <c r="D5" s="4" t="s">
        <v>211</v>
      </c>
      <c r="E5" s="10"/>
      <c r="F5" s="10">
        <v>34100</v>
      </c>
    </row>
    <row r="6" spans="1:8" x14ac:dyDescent="0.3">
      <c r="A6" s="4"/>
      <c r="B6" s="5">
        <f>B4+B5</f>
        <v>121000</v>
      </c>
      <c r="C6" s="5"/>
      <c r="D6" s="4" t="s">
        <v>212</v>
      </c>
      <c r="E6" s="10">
        <v>25000</v>
      </c>
      <c r="F6" s="10"/>
    </row>
    <row r="7" spans="1:8" x14ac:dyDescent="0.3">
      <c r="A7" s="4" t="s">
        <v>206</v>
      </c>
      <c r="B7" s="5">
        <v>3500</v>
      </c>
      <c r="C7" s="5">
        <f>B6-B7</f>
        <v>117500</v>
      </c>
      <c r="D7" s="4" t="s">
        <v>213</v>
      </c>
      <c r="E7" s="10">
        <v>3000</v>
      </c>
      <c r="F7" s="10">
        <f>E6-E7</f>
        <v>22000</v>
      </c>
      <c r="H7" s="18"/>
    </row>
    <row r="8" spans="1:8" x14ac:dyDescent="0.3">
      <c r="A8" s="4" t="s">
        <v>276</v>
      </c>
      <c r="B8" s="5"/>
      <c r="C8" s="5"/>
      <c r="D8" s="4" t="s">
        <v>277</v>
      </c>
      <c r="E8" s="10"/>
      <c r="F8" s="10"/>
    </row>
    <row r="9" spans="1:8" x14ac:dyDescent="0.3">
      <c r="A9" s="4" t="s">
        <v>207</v>
      </c>
      <c r="B9" s="5"/>
      <c r="C9" s="5"/>
      <c r="D9" s="4" t="s">
        <v>214</v>
      </c>
      <c r="E9" s="10"/>
      <c r="F9" s="10">
        <v>8000</v>
      </c>
    </row>
    <row r="10" spans="1:8" x14ac:dyDescent="0.3">
      <c r="A10" s="4" t="s">
        <v>208</v>
      </c>
      <c r="B10" s="5">
        <v>15000</v>
      </c>
      <c r="C10" s="5"/>
      <c r="D10" s="4" t="s">
        <v>215</v>
      </c>
      <c r="E10" s="10"/>
      <c r="F10" s="10"/>
    </row>
    <row r="11" spans="1:8" x14ac:dyDescent="0.3">
      <c r="A11" s="4" t="s">
        <v>209</v>
      </c>
      <c r="B11" s="5">
        <v>19000</v>
      </c>
      <c r="C11" s="5">
        <f>B10+B11</f>
        <v>34000</v>
      </c>
      <c r="D11" s="4" t="s">
        <v>216</v>
      </c>
      <c r="E11" s="10"/>
      <c r="F11" s="10">
        <v>12000</v>
      </c>
    </row>
    <row r="12" spans="1:8" x14ac:dyDescent="0.3">
      <c r="A12" s="4" t="s">
        <v>218</v>
      </c>
      <c r="B12" s="5"/>
      <c r="C12" s="5">
        <v>1500</v>
      </c>
      <c r="D12" s="4" t="s">
        <v>217</v>
      </c>
      <c r="E12" s="10"/>
      <c r="F12" s="10">
        <v>24000</v>
      </c>
    </row>
    <row r="13" spans="1:8" x14ac:dyDescent="0.3">
      <c r="A13" s="4"/>
      <c r="B13" s="5"/>
      <c r="C13" s="4"/>
      <c r="D13" s="4"/>
      <c r="E13" s="5"/>
      <c r="F13" s="4"/>
    </row>
    <row r="14" spans="1:8" x14ac:dyDescent="0.3">
      <c r="A14" s="4"/>
      <c r="B14" s="20"/>
      <c r="C14" s="8">
        <f>SUM(C7:C12)</f>
        <v>153000</v>
      </c>
      <c r="D14" s="4"/>
      <c r="E14" s="5"/>
      <c r="F14" s="8">
        <f>SUM(F4:F12)</f>
        <v>153000</v>
      </c>
    </row>
    <row r="15" spans="1:8" ht="3.6" customHeight="1" x14ac:dyDescent="0.3">
      <c r="A15" s="4"/>
      <c r="B15" s="4"/>
      <c r="C15" s="4"/>
      <c r="D15" s="4"/>
      <c r="E15" s="4"/>
      <c r="F15" s="4"/>
    </row>
    <row r="16" spans="1:8" hidden="1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DC0C-B499-48E7-B9CC-4759F8615DF6}">
  <dimension ref="A1:C41"/>
  <sheetViews>
    <sheetView workbookViewId="0">
      <selection activeCell="C3" sqref="C3"/>
    </sheetView>
  </sheetViews>
  <sheetFormatPr defaultRowHeight="14.4" x14ac:dyDescent="0.3"/>
  <cols>
    <col min="1" max="1" width="34.88671875" customWidth="1"/>
    <col min="2" max="2" width="40.44140625" bestFit="1" customWidth="1"/>
    <col min="3" max="3" width="72.88671875" bestFit="1" customWidth="1"/>
  </cols>
  <sheetData>
    <row r="1" spans="1:3" ht="17.399999999999999" x14ac:dyDescent="0.3">
      <c r="A1" s="48" t="s">
        <v>219</v>
      </c>
      <c r="B1" s="48"/>
      <c r="C1" s="41" t="s">
        <v>220</v>
      </c>
    </row>
    <row r="2" spans="1:3" x14ac:dyDescent="0.3">
      <c r="A2" s="49" t="s">
        <v>221</v>
      </c>
      <c r="B2" s="50"/>
      <c r="C2" s="42"/>
    </row>
    <row r="3" spans="1:3" x14ac:dyDescent="0.3">
      <c r="A3" s="22" t="s">
        <v>222</v>
      </c>
      <c r="B3" s="23" t="s">
        <v>223</v>
      </c>
      <c r="C3" s="24"/>
    </row>
    <row r="4" spans="1:3" x14ac:dyDescent="0.3">
      <c r="A4" s="25" t="s">
        <v>224</v>
      </c>
      <c r="B4" s="26">
        <v>117000</v>
      </c>
      <c r="C4" s="24" t="s">
        <v>225</v>
      </c>
    </row>
    <row r="5" spans="1:3" x14ac:dyDescent="0.3">
      <c r="A5" s="25" t="s">
        <v>226</v>
      </c>
      <c r="B5" s="26">
        <v>35500</v>
      </c>
      <c r="C5" s="24" t="s">
        <v>278</v>
      </c>
    </row>
    <row r="6" spans="1:3" ht="28.8" x14ac:dyDescent="0.3">
      <c r="A6" s="25" t="s">
        <v>227</v>
      </c>
      <c r="B6" s="27">
        <f>(B4/B5)</f>
        <v>3.295774647887324</v>
      </c>
      <c r="C6" s="28" t="s">
        <v>228</v>
      </c>
    </row>
    <row r="7" spans="1:3" x14ac:dyDescent="0.3">
      <c r="A7" s="29"/>
      <c r="B7" s="30"/>
      <c r="C7" s="29"/>
    </row>
    <row r="8" spans="1:3" ht="28.8" x14ac:dyDescent="0.3">
      <c r="A8" s="22" t="s">
        <v>229</v>
      </c>
      <c r="B8" s="31" t="s">
        <v>230</v>
      </c>
      <c r="C8" s="24"/>
    </row>
    <row r="9" spans="1:3" x14ac:dyDescent="0.3">
      <c r="A9" s="25" t="s">
        <v>231</v>
      </c>
      <c r="B9" s="26">
        <f>117000-24000</f>
        <v>93000</v>
      </c>
      <c r="C9" s="24" t="s">
        <v>232</v>
      </c>
    </row>
    <row r="10" spans="1:3" x14ac:dyDescent="0.3">
      <c r="A10" s="25" t="s">
        <v>226</v>
      </c>
      <c r="B10" s="26">
        <v>35500</v>
      </c>
      <c r="C10" s="24" t="s">
        <v>279</v>
      </c>
    </row>
    <row r="11" spans="1:3" ht="28.8" x14ac:dyDescent="0.3">
      <c r="A11" s="25" t="s">
        <v>233</v>
      </c>
      <c r="B11" s="27">
        <f>(B9/B10)</f>
        <v>2.619718309859155</v>
      </c>
      <c r="C11" s="28" t="s">
        <v>234</v>
      </c>
    </row>
    <row r="12" spans="1:3" x14ac:dyDescent="0.3">
      <c r="A12" s="29"/>
      <c r="B12" s="32"/>
      <c r="C12" s="29"/>
    </row>
    <row r="13" spans="1:3" x14ac:dyDescent="0.3">
      <c r="A13" s="22" t="s">
        <v>235</v>
      </c>
      <c r="B13" s="33" t="s">
        <v>236</v>
      </c>
      <c r="C13" s="24"/>
    </row>
    <row r="14" spans="1:3" x14ac:dyDescent="0.3">
      <c r="A14" s="25" t="s">
        <v>237</v>
      </c>
      <c r="B14" s="26">
        <v>52900</v>
      </c>
      <c r="C14" s="24" t="s">
        <v>238</v>
      </c>
    </row>
    <row r="15" spans="1:3" x14ac:dyDescent="0.3">
      <c r="A15" s="25" t="s">
        <v>226</v>
      </c>
      <c r="B15" s="26">
        <v>35500</v>
      </c>
      <c r="C15" s="24" t="s">
        <v>280</v>
      </c>
    </row>
    <row r="16" spans="1:3" x14ac:dyDescent="0.3">
      <c r="A16" s="25" t="s">
        <v>239</v>
      </c>
      <c r="B16" s="27">
        <f>(B14/B15)</f>
        <v>1.4901408450704225</v>
      </c>
      <c r="C16" s="24" t="s">
        <v>240</v>
      </c>
    </row>
    <row r="17" spans="1:3" x14ac:dyDescent="0.3">
      <c r="A17" s="34"/>
      <c r="B17" s="32"/>
      <c r="C17" s="29"/>
    </row>
    <row r="18" spans="1:3" x14ac:dyDescent="0.3">
      <c r="A18" s="35" t="s">
        <v>241</v>
      </c>
      <c r="B18" s="33" t="s">
        <v>242</v>
      </c>
      <c r="C18" s="24"/>
    </row>
    <row r="19" spans="1:3" x14ac:dyDescent="0.3">
      <c r="A19" s="25" t="s">
        <v>243</v>
      </c>
      <c r="B19" s="26">
        <v>36000</v>
      </c>
      <c r="C19" s="24" t="s">
        <v>244</v>
      </c>
    </row>
    <row r="20" spans="1:3" x14ac:dyDescent="0.3">
      <c r="A20" s="25" t="s">
        <v>245</v>
      </c>
      <c r="B20" s="26">
        <v>117500</v>
      </c>
      <c r="C20" s="24" t="s">
        <v>281</v>
      </c>
    </row>
    <row r="21" spans="1:3" x14ac:dyDescent="0.3">
      <c r="A21" s="25" t="s">
        <v>246</v>
      </c>
      <c r="B21" s="36">
        <f>(B19/B20)</f>
        <v>0.30638297872340425</v>
      </c>
      <c r="C21" s="24" t="s">
        <v>247</v>
      </c>
    </row>
    <row r="22" spans="1:3" x14ac:dyDescent="0.3">
      <c r="A22" s="29"/>
      <c r="B22" s="30"/>
      <c r="C22" s="29"/>
    </row>
    <row r="23" spans="1:3" x14ac:dyDescent="0.3">
      <c r="A23" s="22" t="s">
        <v>248</v>
      </c>
      <c r="B23" s="33" t="s">
        <v>249</v>
      </c>
      <c r="C23" s="24" t="s">
        <v>250</v>
      </c>
    </row>
    <row r="24" spans="1:3" x14ac:dyDescent="0.3">
      <c r="A24" s="25" t="s">
        <v>243</v>
      </c>
      <c r="B24" s="26">
        <v>36000</v>
      </c>
      <c r="C24" s="24" t="s">
        <v>282</v>
      </c>
    </row>
    <row r="25" spans="1:3" x14ac:dyDescent="0.3">
      <c r="A25" s="25" t="s">
        <v>251</v>
      </c>
      <c r="B25" s="26">
        <v>153000</v>
      </c>
      <c r="C25" s="24" t="s">
        <v>283</v>
      </c>
    </row>
    <row r="26" spans="1:3" x14ac:dyDescent="0.3">
      <c r="A26" s="25" t="s">
        <v>252</v>
      </c>
      <c r="B26" s="36">
        <f>(B24/B25)</f>
        <v>0.23529411764705882</v>
      </c>
      <c r="C26" s="24" t="s">
        <v>253</v>
      </c>
    </row>
    <row r="27" spans="1:3" x14ac:dyDescent="0.3">
      <c r="A27" s="29"/>
      <c r="B27" s="30"/>
      <c r="C27" s="29"/>
    </row>
    <row r="28" spans="1:3" x14ac:dyDescent="0.3">
      <c r="A28" s="22" t="s">
        <v>254</v>
      </c>
      <c r="B28" s="33" t="s">
        <v>255</v>
      </c>
      <c r="C28" s="24" t="s">
        <v>256</v>
      </c>
    </row>
    <row r="29" spans="1:3" x14ac:dyDescent="0.3">
      <c r="A29" s="25" t="s">
        <v>257</v>
      </c>
      <c r="B29" s="26">
        <v>69500</v>
      </c>
      <c r="C29" s="24" t="s">
        <v>284</v>
      </c>
    </row>
    <row r="30" spans="1:3" x14ac:dyDescent="0.3">
      <c r="A30" s="25" t="s">
        <v>251</v>
      </c>
      <c r="B30" s="26">
        <v>153000</v>
      </c>
      <c r="C30" s="24" t="s">
        <v>258</v>
      </c>
    </row>
    <row r="31" spans="1:3" x14ac:dyDescent="0.3">
      <c r="A31" s="25" t="s">
        <v>259</v>
      </c>
      <c r="B31" s="37">
        <f>B29/B30</f>
        <v>0.45424836601307189</v>
      </c>
      <c r="C31" s="24" t="s">
        <v>260</v>
      </c>
    </row>
    <row r="32" spans="1:3" x14ac:dyDescent="0.3">
      <c r="A32" s="29"/>
      <c r="B32" s="30"/>
      <c r="C32" s="29"/>
    </row>
    <row r="33" spans="1:3" x14ac:dyDescent="0.3">
      <c r="A33" s="22" t="s">
        <v>261</v>
      </c>
      <c r="B33" s="33" t="s">
        <v>262</v>
      </c>
      <c r="C33" s="24"/>
    </row>
    <row r="34" spans="1:3" x14ac:dyDescent="0.3">
      <c r="A34" s="25" t="s">
        <v>263</v>
      </c>
      <c r="B34" s="26">
        <v>47500</v>
      </c>
      <c r="C34" s="24" t="s">
        <v>286</v>
      </c>
    </row>
    <row r="35" spans="1:3" x14ac:dyDescent="0.3">
      <c r="A35" s="25" t="s">
        <v>264</v>
      </c>
      <c r="B35" s="26">
        <v>12000</v>
      </c>
      <c r="C35" s="24" t="s">
        <v>287</v>
      </c>
    </row>
    <row r="36" spans="1:3" ht="28.8" x14ac:dyDescent="0.3">
      <c r="A36" s="25" t="s">
        <v>265</v>
      </c>
      <c r="B36" s="27">
        <f>B34/B35</f>
        <v>3.9583333333333335</v>
      </c>
      <c r="C36" s="28" t="s">
        <v>288</v>
      </c>
    </row>
    <row r="37" spans="1:3" x14ac:dyDescent="0.3">
      <c r="A37" s="29"/>
      <c r="B37" s="30"/>
      <c r="C37" s="29"/>
    </row>
    <row r="38" spans="1:3" x14ac:dyDescent="0.3">
      <c r="A38" s="22" t="s">
        <v>266</v>
      </c>
      <c r="B38" s="33" t="s">
        <v>267</v>
      </c>
      <c r="C38" s="24"/>
    </row>
    <row r="39" spans="1:3" x14ac:dyDescent="0.3">
      <c r="A39" s="25" t="s">
        <v>268</v>
      </c>
      <c r="B39" s="26">
        <v>69500</v>
      </c>
      <c r="C39" s="24" t="s">
        <v>269</v>
      </c>
    </row>
    <row r="40" spans="1:3" x14ac:dyDescent="0.3">
      <c r="A40" s="25" t="s">
        <v>270</v>
      </c>
      <c r="B40" s="26">
        <f>(B4-B5)</f>
        <v>81500</v>
      </c>
      <c r="C40" s="24" t="s">
        <v>285</v>
      </c>
    </row>
    <row r="41" spans="1:3" x14ac:dyDescent="0.3">
      <c r="A41" s="38" t="s">
        <v>271</v>
      </c>
      <c r="B41" s="39">
        <f>B39/B40</f>
        <v>0.85276073619631898</v>
      </c>
      <c r="C41" s="40" t="s">
        <v>272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Problems.</vt:lpstr>
      <vt:lpstr>Journal entries.</vt:lpstr>
      <vt:lpstr>Ledger Accounts.</vt:lpstr>
      <vt:lpstr>Trial Balance.</vt:lpstr>
      <vt:lpstr>Trading Account.</vt:lpstr>
      <vt:lpstr>P&amp;L.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2026-07-21T03:18:11Z</dcterms:created>
  <dcterms:modified xsi:type="dcterms:W3CDTF">2026-07-21T03:18:31Z</dcterms:modified>
</cp:coreProperties>
</file>